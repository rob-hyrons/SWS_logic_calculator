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fileSharing readOnlyRecommended="1"/>
  <workbookPr codeName="ThisWorkbook" defaultThemeVersion="124226"/>
  <mc:AlternateContent xmlns:mc="http://schemas.openxmlformats.org/markup-compatibility/2006">
    <mc:Choice Requires="x15">
      <x15ac:absPath xmlns:x15ac="http://schemas.microsoft.com/office/spreadsheetml/2010/11/ac" url="https://securitywindowshutt-my.sharepoint.com/personal/rob_hyrons_swsuk_co_uk/Documents/SWS product dev/Projects/P190 - Industrial EVO/Calculators/"/>
    </mc:Choice>
  </mc:AlternateContent>
  <xr:revisionPtr revIDLastSave="105" documentId="8_{7DFAE97B-8ACC-4DB2-B934-A1BBA6BF95E0}" xr6:coauthVersionLast="47" xr6:coauthVersionMax="47" xr10:uidLastSave="{54BF51A8-0CBA-4AEF-AFE2-1DF92841C53F}"/>
  <bookViews>
    <workbookView xWindow="4670" yWindow="4350" windowWidth="31040" windowHeight="14040" xr2:uid="{00000000-000D-0000-FFFF-FFFF00000000}"/>
  </bookViews>
  <sheets>
    <sheet name="Sheet1" sheetId="1" r:id="rId1"/>
    <sheet name="Amendments" sheetId="2" r:id="rId2"/>
    <sheet name="Calculations &amp; Specifications" sheetId="4" r:id="rId3"/>
    <sheet name="Sheet3" sheetId="3" r:id="rId4"/>
  </sheets>
  <definedNames>
    <definedName name="APPENDIX1" localSheetId="2">'Calculations &amp; Specifications'!$B$40</definedName>
    <definedName name="Permittedtubedeflex" localSheetId="2">'Calculations &amp; Specifications'!$B$4</definedName>
    <definedName name="_xlnm.Print_Area" localSheetId="0">Sheet1!$A$1:$G$43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3" i="1" l="1"/>
  <c r="B1" i="1" l="1"/>
  <c r="L27" i="1"/>
  <c r="L28" i="1"/>
  <c r="L29" i="1"/>
  <c r="L30" i="1"/>
  <c r="L31" i="1"/>
  <c r="L26" i="1"/>
  <c r="I36" i="1"/>
  <c r="J5" i="1"/>
  <c r="G6" i="1" l="1"/>
  <c r="K31" i="1"/>
  <c r="K30" i="1"/>
  <c r="K28" i="1"/>
  <c r="K27" i="1"/>
  <c r="K26" i="1"/>
  <c r="C6" i="1"/>
  <c r="C7" i="1"/>
  <c r="B10" i="1"/>
  <c r="F11" i="1"/>
  <c r="G11" i="1" s="1"/>
  <c r="C16" i="1"/>
  <c r="N7" i="1" s="1"/>
  <c r="G18" i="1"/>
  <c r="B42" i="1"/>
  <c r="N22" i="1" l="1"/>
  <c r="Q22" i="1" s="1"/>
  <c r="N17" i="1"/>
  <c r="Q17" i="1" s="1"/>
  <c r="N16" i="1"/>
  <c r="Q16" i="1" s="1"/>
  <c r="N23" i="1"/>
  <c r="Q23" i="1" s="1"/>
  <c r="N20" i="1"/>
  <c r="Q20" i="1" s="1"/>
  <c r="N15" i="1"/>
  <c r="Q15" i="1" s="1"/>
  <c r="T15" i="1" s="1"/>
  <c r="N21" i="1"/>
  <c r="Q21" i="1" s="1"/>
  <c r="N19" i="1"/>
  <c r="Q19" i="1" s="1"/>
  <c r="N18" i="1"/>
  <c r="Q18" i="1" s="1"/>
  <c r="Q7" i="1"/>
  <c r="AD6" i="1" s="1"/>
  <c r="AF6" i="1" s="1"/>
  <c r="B11" i="1"/>
  <c r="B12" i="1"/>
  <c r="N13" i="1"/>
  <c r="Q13" i="1" s="1"/>
  <c r="T13" i="1" s="1"/>
  <c r="N11" i="1"/>
  <c r="Q11" i="1" s="1"/>
  <c r="T11" i="1" s="1"/>
  <c r="N10" i="1"/>
  <c r="Q10" i="1" s="1"/>
  <c r="T10" i="1" s="1"/>
  <c r="N6" i="1"/>
  <c r="Q6" i="1" s="1"/>
  <c r="N14" i="1"/>
  <c r="Q14" i="1" s="1"/>
  <c r="T14" i="1" s="1"/>
  <c r="F13" i="1"/>
  <c r="N12" i="1"/>
  <c r="Q12" i="1" s="1"/>
  <c r="T12" i="1" s="1"/>
  <c r="N9" i="1"/>
  <c r="Q9" i="1" s="1"/>
  <c r="T9" i="1" s="1"/>
  <c r="N8" i="1"/>
  <c r="Q8" i="1" s="1"/>
  <c r="T8" i="1" s="1"/>
  <c r="C1" i="1" l="1"/>
  <c r="F25" i="1"/>
  <c r="F26" i="1" s="1"/>
  <c r="M28" i="1"/>
  <c r="N28" i="1" s="1"/>
  <c r="M30" i="1"/>
  <c r="N30" i="1" s="1"/>
  <c r="M29" i="1"/>
  <c r="N29" i="1" s="1"/>
  <c r="M27" i="1"/>
  <c r="N27" i="1" s="1"/>
  <c r="M31" i="1"/>
  <c r="N31" i="1" s="1"/>
  <c r="M26" i="1"/>
  <c r="N26" i="1" s="1"/>
  <c r="K5" i="1"/>
  <c r="B14" i="1"/>
  <c r="F15" i="1" s="1"/>
  <c r="F36" i="1" s="1"/>
  <c r="T16" i="1"/>
  <c r="AD15" i="1"/>
  <c r="AF15" i="1" s="1"/>
  <c r="AD22" i="1"/>
  <c r="AF22" i="1" s="1"/>
  <c r="T23" i="1"/>
  <c r="AD19" i="1"/>
  <c r="AF19" i="1" s="1"/>
  <c r="T20" i="1"/>
  <c r="T19" i="1"/>
  <c r="AD18" i="1"/>
  <c r="AF18" i="1" s="1"/>
  <c r="AD16" i="1"/>
  <c r="AF16" i="1" s="1"/>
  <c r="T17" i="1"/>
  <c r="T18" i="1"/>
  <c r="AD17" i="1"/>
  <c r="AF17" i="1" s="1"/>
  <c r="T22" i="1"/>
  <c r="AD21" i="1"/>
  <c r="AF21" i="1" s="1"/>
  <c r="AD20" i="1"/>
  <c r="AF20" i="1" s="1"/>
  <c r="T21" i="1"/>
  <c r="T6" i="1"/>
  <c r="V6" i="1" s="1"/>
  <c r="X6" i="1" s="1"/>
  <c r="Z6" i="1" s="1"/>
  <c r="T7" i="1"/>
  <c r="AD7" i="1"/>
  <c r="AF7" i="1" s="1"/>
  <c r="AD11" i="1"/>
  <c r="AF11" i="1" s="1"/>
  <c r="AD10" i="1"/>
  <c r="AF10" i="1" s="1"/>
  <c r="AD8" i="1"/>
  <c r="AF8" i="1" s="1"/>
  <c r="AD13" i="1"/>
  <c r="AF13" i="1" s="1"/>
  <c r="AD14" i="1"/>
  <c r="AF14" i="1" s="1"/>
  <c r="AD9" i="1"/>
  <c r="AF9" i="1" s="1"/>
  <c r="AD12" i="1"/>
  <c r="AF12" i="1" s="1"/>
  <c r="V8" i="1" l="1"/>
  <c r="X8" i="1" s="1"/>
  <c r="Z8" i="1" s="1"/>
  <c r="V17" i="1"/>
  <c r="X17" i="1" s="1"/>
  <c r="V19" i="1"/>
  <c r="X19" i="1" s="1"/>
  <c r="V18" i="1"/>
  <c r="X18" i="1" s="1"/>
  <c r="V7" i="1"/>
  <c r="X7" i="1" s="1"/>
  <c r="Z7" i="1" s="1"/>
  <c r="AB7" i="1" s="1"/>
  <c r="AH7" i="1" s="1"/>
  <c r="K7" i="1" s="1"/>
  <c r="V23" i="1"/>
  <c r="X23" i="1" s="1"/>
  <c r="V22" i="1"/>
  <c r="X22" i="1" s="1"/>
  <c r="V21" i="1"/>
  <c r="X21" i="1" s="1"/>
  <c r="V20" i="1"/>
  <c r="X20" i="1" s="1"/>
  <c r="J6" i="1"/>
  <c r="V16" i="1"/>
  <c r="X16" i="1" s="1"/>
  <c r="V13" i="1"/>
  <c r="AB6" i="1"/>
  <c r="AH6" i="1" s="1"/>
  <c r="K6" i="1" s="1"/>
  <c r="V10" i="1"/>
  <c r="V9" i="1"/>
  <c r="X9" i="1" s="1"/>
  <c r="Z9" i="1" s="1"/>
  <c r="V15" i="1"/>
  <c r="X15" i="1" s="1"/>
  <c r="Z15" i="1" s="1"/>
  <c r="V14" i="1"/>
  <c r="X14" i="1" s="1"/>
  <c r="Z14" i="1" s="1"/>
  <c r="V11" i="1"/>
  <c r="X11" i="1" s="1"/>
  <c r="Z11" i="1" s="1"/>
  <c r="V12" i="1"/>
  <c r="X12" i="1" s="1"/>
  <c r="Z12" i="1" s="1"/>
  <c r="J8" i="1" l="1"/>
  <c r="J17" i="1"/>
  <c r="Z17" i="1"/>
  <c r="AB17" i="1" s="1"/>
  <c r="AH17" i="1" s="1"/>
  <c r="K17" i="1" s="1"/>
  <c r="J22" i="1"/>
  <c r="Z22" i="1"/>
  <c r="AB22" i="1" s="1"/>
  <c r="AH22" i="1" s="1"/>
  <c r="K22" i="1" s="1"/>
  <c r="J19" i="1"/>
  <c r="Z19" i="1"/>
  <c r="AB19" i="1" s="1"/>
  <c r="AH19" i="1" s="1"/>
  <c r="K19" i="1" s="1"/>
  <c r="J21" i="1"/>
  <c r="Z21" i="1"/>
  <c r="AB21" i="1" s="1"/>
  <c r="AH21" i="1" s="1"/>
  <c r="K21" i="1" s="1"/>
  <c r="J7" i="1"/>
  <c r="J18" i="1"/>
  <c r="Z18" i="1"/>
  <c r="AB18" i="1" s="1"/>
  <c r="AH18" i="1" s="1"/>
  <c r="K18" i="1" s="1"/>
  <c r="Z23" i="1"/>
  <c r="AB23" i="1" s="1"/>
  <c r="J16" i="1"/>
  <c r="Z16" i="1"/>
  <c r="AB16" i="1" s="1"/>
  <c r="AH16" i="1" s="1"/>
  <c r="K16" i="1" s="1"/>
  <c r="X13" i="1"/>
  <c r="Z13" i="1" s="1"/>
  <c r="AB13" i="1" s="1"/>
  <c r="AH13" i="1" s="1"/>
  <c r="K13" i="1" s="1"/>
  <c r="X10" i="1"/>
  <c r="Z10" i="1" s="1"/>
  <c r="J20" i="1"/>
  <c r="Z20" i="1"/>
  <c r="AB20" i="1" s="1"/>
  <c r="AH20" i="1" s="1"/>
  <c r="K20" i="1" s="1"/>
  <c r="AB9" i="1"/>
  <c r="AH9" i="1" s="1"/>
  <c r="K9" i="1" s="1"/>
  <c r="J9" i="1"/>
  <c r="J12" i="1"/>
  <c r="J14" i="1"/>
  <c r="J15" i="1"/>
  <c r="J11" i="1"/>
  <c r="J10" i="1" l="1"/>
  <c r="J13" i="1"/>
  <c r="AB8" i="1"/>
  <c r="AH8" i="1" s="1"/>
  <c r="K8" i="1" s="1"/>
  <c r="AB14" i="1"/>
  <c r="AH14" i="1" s="1"/>
  <c r="K14" i="1" s="1"/>
  <c r="AB10" i="1"/>
  <c r="AH10" i="1" s="1"/>
  <c r="K10" i="1" s="1"/>
  <c r="AB11" i="1"/>
  <c r="AH11" i="1" s="1"/>
  <c r="K11" i="1" s="1"/>
  <c r="AB12" i="1"/>
  <c r="AH12" i="1" s="1"/>
  <c r="K12" i="1" s="1"/>
  <c r="AB15" i="1"/>
  <c r="AH15" i="1" s="1"/>
  <c r="K15" i="1" s="1"/>
  <c r="F42" i="1" l="1"/>
  <c r="I38" i="1" s="1"/>
  <c r="F17" i="1"/>
  <c r="F38" i="1" s="1"/>
  <c r="F24" i="1" s="1"/>
  <c r="F27" i="1" l="1"/>
  <c r="F28" i="1" s="1"/>
  <c r="F32" i="1"/>
  <c r="F33" i="1" s="1"/>
  <c r="F40" i="1"/>
</calcChain>
</file>

<file path=xl/sharedStrings.xml><?xml version="1.0" encoding="utf-8"?>
<sst xmlns="http://schemas.openxmlformats.org/spreadsheetml/2006/main" count="379" uniqueCount="304">
  <si>
    <t>SHUTTER DETAILS</t>
  </si>
  <si>
    <t>Total Weight (N)</t>
  </si>
  <si>
    <t>BARREL DETAILS</t>
  </si>
  <si>
    <t>O/D (mm)</t>
  </si>
  <si>
    <t>Wall Thickness (mm)</t>
  </si>
  <si>
    <t>Youngs Modulus (N/mm2)</t>
  </si>
  <si>
    <t>Tube I/D</t>
  </si>
  <si>
    <t>2nd Moment of Area (J)</t>
  </si>
  <si>
    <t>Deflection (mm)</t>
  </si>
  <si>
    <t>Deflection Ratio</t>
  </si>
  <si>
    <t>TURN</t>
  </si>
  <si>
    <t>TORQUE</t>
  </si>
  <si>
    <t>Lath Thickness (mm)</t>
  </si>
  <si>
    <t>t</t>
  </si>
  <si>
    <t>3t</t>
  </si>
  <si>
    <t>5t</t>
  </si>
  <si>
    <t>7t</t>
  </si>
  <si>
    <t>9t</t>
  </si>
  <si>
    <t>11t</t>
  </si>
  <si>
    <t>13t</t>
  </si>
  <si>
    <t>15t</t>
  </si>
  <si>
    <t>17t</t>
  </si>
  <si>
    <t>19t</t>
  </si>
  <si>
    <t>d+t</t>
  </si>
  <si>
    <t>d+3t</t>
  </si>
  <si>
    <t>d+5t</t>
  </si>
  <si>
    <t>d+7t</t>
  </si>
  <si>
    <t>d+9t</t>
  </si>
  <si>
    <t>d+11t</t>
  </si>
  <si>
    <t>d+13t</t>
  </si>
  <si>
    <t>d+15t</t>
  </si>
  <si>
    <t>d+17t</t>
  </si>
  <si>
    <t>d+19t</t>
  </si>
  <si>
    <t>lath</t>
  </si>
  <si>
    <t>rolled up</t>
  </si>
  <si>
    <t>A</t>
  </si>
  <si>
    <t>CURTAIN</t>
  </si>
  <si>
    <t>LEFT</t>
  </si>
  <si>
    <t>REQUIRED</t>
  </si>
  <si>
    <t xml:space="preserve">height </t>
  </si>
  <si>
    <t>minus lath</t>
  </si>
  <si>
    <t>B</t>
  </si>
  <si>
    <t>B divided</t>
  </si>
  <si>
    <t>by height</t>
  </si>
  <si>
    <t>C</t>
  </si>
  <si>
    <t>multiplied</t>
  </si>
  <si>
    <t>by weight</t>
  </si>
  <si>
    <t>diameter</t>
  </si>
  <si>
    <t xml:space="preserve">divided </t>
  </si>
  <si>
    <t>by 2</t>
  </si>
  <si>
    <t>D</t>
  </si>
  <si>
    <t>by gravity</t>
  </si>
  <si>
    <t>E</t>
  </si>
  <si>
    <t>D*F</t>
  </si>
  <si>
    <t>F</t>
  </si>
  <si>
    <t>(m)</t>
  </si>
  <si>
    <t>(Nm)</t>
  </si>
  <si>
    <t>(mm)</t>
  </si>
  <si>
    <t>Peak Torque (Nm)</t>
  </si>
  <si>
    <t>No of Turns of Barrel</t>
  </si>
  <si>
    <t>Friction Allowance %</t>
  </si>
  <si>
    <t>Max Peak Torque (Nm)</t>
  </si>
  <si>
    <t>Customer:</t>
  </si>
  <si>
    <t>Reference:</t>
  </si>
  <si>
    <t>Date:</t>
  </si>
  <si>
    <t>A*pi</t>
  </si>
  <si>
    <t>WIDTH (mm) over endlocks</t>
  </si>
  <si>
    <t>HEIGHT (mm) barrel centre-line</t>
  </si>
  <si>
    <t>(Al) 70000</t>
  </si>
  <si>
    <t>(Al) 2700</t>
  </si>
  <si>
    <t>Kg/sq.m</t>
  </si>
  <si>
    <t>22 swg Solid</t>
  </si>
  <si>
    <t>22 swg Plastisol</t>
  </si>
  <si>
    <t>20 swg Solid</t>
  </si>
  <si>
    <t>18 swg Solid</t>
  </si>
  <si>
    <t>16 swg Solid</t>
  </si>
  <si>
    <t>Insulated Galv</t>
  </si>
  <si>
    <t>Insulated Plastisol</t>
  </si>
  <si>
    <t>Ultra 22 swg</t>
  </si>
  <si>
    <t>Ultra 20 swg</t>
  </si>
  <si>
    <t>Ultra 18 swg</t>
  </si>
  <si>
    <t>GfA Parameters</t>
  </si>
  <si>
    <t>Friction %</t>
  </si>
  <si>
    <t>Lath mm</t>
  </si>
  <si>
    <t>Lath (mm)</t>
  </si>
  <si>
    <t>Aluminium Rolling Grille Steel Rod</t>
  </si>
  <si>
    <t>Aluminium Rolling Grille Ali' Rod</t>
  </si>
  <si>
    <t>Steel Rolling Grille</t>
  </si>
  <si>
    <t>Version</t>
  </si>
  <si>
    <t>Date</t>
  </si>
  <si>
    <t>Amended By</t>
  </si>
  <si>
    <t>Brief Change Details</t>
  </si>
  <si>
    <t>SA03.15</t>
  </si>
  <si>
    <t>RFB</t>
  </si>
  <si>
    <t>SA04.15</t>
  </si>
  <si>
    <t>GfA logo added to Header &amp; Version added to Footer</t>
  </si>
  <si>
    <t>Double Angle Bottom Bar Details</t>
  </si>
  <si>
    <t>mm</t>
  </si>
  <si>
    <t>21t</t>
  </si>
  <si>
    <t>23t</t>
  </si>
  <si>
    <t>25t</t>
  </si>
  <si>
    <t>27t</t>
  </si>
  <si>
    <t>29t</t>
  </si>
  <si>
    <t>31t</t>
  </si>
  <si>
    <t>33t</t>
  </si>
  <si>
    <t>35t</t>
  </si>
  <si>
    <t>d+21t</t>
  </si>
  <si>
    <t>d+23t</t>
  </si>
  <si>
    <t>d+25t</t>
  </si>
  <si>
    <t>d+27t</t>
  </si>
  <si>
    <t>d+29t</t>
  </si>
  <si>
    <t>d+31t</t>
  </si>
  <si>
    <t>d+33t</t>
  </si>
  <si>
    <t>d+35t</t>
  </si>
  <si>
    <t>Chain Drive Details</t>
  </si>
  <si>
    <t>Chain Size</t>
  </si>
  <si>
    <t>1"</t>
  </si>
  <si>
    <t>Platewheel Size (no. Teeth)</t>
  </si>
  <si>
    <t>Sprocket Size (no. Teeth)</t>
  </si>
  <si>
    <t>Drive Unit Torque (Nm)</t>
  </si>
  <si>
    <t>Chain Pull (N)</t>
  </si>
  <si>
    <t>Safety Factor (Min 6:1)</t>
  </si>
  <si>
    <t>Platewheel Dia</t>
  </si>
  <si>
    <t>Pitch (mm)</t>
  </si>
  <si>
    <t>Coil Up Dia (mm)</t>
  </si>
  <si>
    <t>Direct Drive Details</t>
  </si>
  <si>
    <t>Drive Speed (rpm)</t>
  </si>
  <si>
    <t>Opening Time (secs)</t>
  </si>
  <si>
    <t>Av' Shutter Speed (mm/sec)</t>
  </si>
  <si>
    <t>Width (mm)</t>
  </si>
  <si>
    <t>Height (mm)</t>
  </si>
  <si>
    <t>Thickness (mm)</t>
  </si>
  <si>
    <t>If no heavy bottom bar fitted set Thickness to 0</t>
  </si>
  <si>
    <t>Contact:</t>
  </si>
  <si>
    <t>SA04.15 V2</t>
  </si>
  <si>
    <t>Note about 15% Friction allowance for Safedrives over 1400Nm added.</t>
  </si>
  <si>
    <t>Added Weight for Lightweight Insulated lath, Bottom Bar Calc, Chain Drive Calc, Coil up Calc, Speed Calc &amp; Contact</t>
  </si>
  <si>
    <t>SA04.15 V3</t>
  </si>
  <si>
    <t>Note added: When using 95mm or 100mm Insulated lath with FI Drive units use 25mm lath thickness and 15% Friction Allowance</t>
  </si>
  <si>
    <t>SA04 15 V4</t>
  </si>
  <si>
    <t>Notes Changed concerning Insulated lath, lath thickness and friction allowances also amended</t>
  </si>
  <si>
    <t>Insulated Lightweight (75mm)</t>
  </si>
  <si>
    <t>conditions at the site where the shutter is to be installed.</t>
  </si>
  <si>
    <t>parent company in Germany. These may be varied from job to job depending on what is known about the prevailing</t>
  </si>
  <si>
    <t xml:space="preserve">The suggested friction allowances are based on our engineers' experience over many years and also the guidance of our </t>
  </si>
  <si>
    <t>on the barrel specified.</t>
  </si>
  <si>
    <t xml:space="preserve">result of research with the lath suppliers and physical checks of how well or poorly a particular product rolls up </t>
  </si>
  <si>
    <t xml:space="preserve">which would otherwise be overlooked. With regard to Insulated lath the weights and thickness used are as a </t>
  </si>
  <si>
    <t xml:space="preserve"> their weight per m2 is less than the weights we state, but we include for endlocks and a standard bottom rail </t>
  </si>
  <si>
    <t>spreadsheet is used for all our customers. Looking at a typical manufacturer link below:-</t>
  </si>
  <si>
    <t>Material weights for the lath vary from manufacturer to manufacturer so have to be a "cover all" as the</t>
  </si>
  <si>
    <t>Simu and GfA when the calculations were first put in to spreadsheet format. (For guidance - Building Regs for a structural beam call for 1:360.)</t>
  </si>
  <si>
    <t xml:space="preserve">as not to exceed the minimum deflection ratio of 1:400 This was the original figure recommended by </t>
  </si>
  <si>
    <t>Tube sizes used in the calculation are those given by the customer or chosen by GfA UK so</t>
  </si>
  <si>
    <t>Material Specifications:-</t>
  </si>
  <si>
    <t>Calculations on this spreadsheet are based on those laid down in QP17 Roller Barrel Design Manual:-</t>
  </si>
  <si>
    <t>SA11.16</t>
  </si>
  <si>
    <t>Added Calculations &amp; Specifications Tab with details of data sources.</t>
  </si>
  <si>
    <t>1/2"</t>
  </si>
  <si>
    <t>5/8"</t>
  </si>
  <si>
    <t>3/4"</t>
  </si>
  <si>
    <t>11/4"</t>
  </si>
  <si>
    <t>11/2"</t>
  </si>
  <si>
    <t>D4 Mag Roll Galvanised</t>
  </si>
  <si>
    <t>D4 Mag Roll Laminate</t>
  </si>
  <si>
    <t>Other Guides &amp; 139.7mm tube min</t>
  </si>
  <si>
    <t>D4 Guides &amp; 139.7mm tube min</t>
  </si>
  <si>
    <t>West Mercia WM95 139.7mm tube</t>
  </si>
  <si>
    <t>SA11.18</t>
  </si>
  <si>
    <t>Details of D4 and West Mercia Insulated lath added, Starting Torque Calculation included. Chain sizes changed from decimals to fractions.</t>
  </si>
  <si>
    <t>WM95 Laminate</t>
  </si>
  <si>
    <t>WM95 Galvanised/Plastisol/Aluzinc</t>
  </si>
  <si>
    <t>SA06.19</t>
  </si>
  <si>
    <t>WM95 lath weights amended in line with West Mercia revised parameters</t>
  </si>
  <si>
    <t xml:space="preserve">CRF 95mm Foam Filled Lath </t>
  </si>
  <si>
    <t>0.5mm Galv</t>
  </si>
  <si>
    <t>0.4mm 200μm Plastisol</t>
  </si>
  <si>
    <t>PRS</t>
  </si>
  <si>
    <t>CRF 95mm Foam Filled Lath added</t>
  </si>
  <si>
    <t>SA02.22</t>
  </si>
  <si>
    <t>RCS Foam Filled Lath</t>
  </si>
  <si>
    <t>77mm</t>
  </si>
  <si>
    <t>1:400 (reference only)</t>
  </si>
  <si>
    <t>1:600 (reference only)</t>
  </si>
  <si>
    <t>1:800 (reference only)</t>
  </si>
  <si>
    <t xml:space="preserve">FI Drives / High Usage / Fire Shutter / </t>
  </si>
  <si>
    <t xml:space="preserve"> Tube Motor</t>
  </si>
  <si>
    <t xml:space="preserve">95mm </t>
  </si>
  <si>
    <t>Reduction Ratio</t>
  </si>
  <si>
    <t>http://www.westmerciasections.co.uk/index.php/roller-shutter-products/75mm-lath/</t>
  </si>
  <si>
    <t>Shutters &gt;8m up to &amp; inc'g 10m wide</t>
  </si>
  <si>
    <t>Shutters &gt; 10m wide</t>
  </si>
  <si>
    <t>Std &amp; ins lath</t>
  </si>
  <si>
    <t>FI / Hi Usage / Fire Shutter / Tube Motor</t>
  </si>
  <si>
    <t>(based on cut lath width)</t>
  </si>
  <si>
    <t>Door Height</t>
  </si>
  <si>
    <t xml:space="preserve">&gt;12m </t>
  </si>
  <si>
    <t>7m to 8m (inclusive)</t>
  </si>
  <si>
    <t>add 300mm</t>
  </si>
  <si>
    <t>add 400mm</t>
  </si>
  <si>
    <t>add 500mm</t>
  </si>
  <si>
    <t>add 600mm</t>
  </si>
  <si>
    <r>
      <t>WEIGHT (kg/m</t>
    </r>
    <r>
      <rPr>
        <vertAlign val="superscript"/>
        <sz val="10"/>
        <rFont val="Arial"/>
        <family val="2"/>
      </rPr>
      <t>2</t>
    </r>
    <r>
      <rPr>
        <sz val="10"/>
        <rFont val="Arial"/>
        <family val="2"/>
      </rPr>
      <t>)</t>
    </r>
  </si>
  <si>
    <t>Weight of Tube (kg)</t>
  </si>
  <si>
    <t>Material Density (kg/m3)</t>
  </si>
  <si>
    <t>use this column</t>
  </si>
  <si>
    <r>
      <t>To calculate</t>
    </r>
    <r>
      <rPr>
        <b/>
        <sz val="8"/>
        <rFont val="Arial"/>
        <family val="2"/>
      </rPr>
      <t xml:space="preserve"> centre line height</t>
    </r>
    <r>
      <rPr>
        <sz val="8"/>
        <rFont val="Arial"/>
        <family val="2"/>
      </rPr>
      <t xml:space="preserve"> where </t>
    </r>
    <r>
      <rPr>
        <b/>
        <sz val="8"/>
        <rFont val="Arial"/>
        <family val="2"/>
      </rPr>
      <t>clear opening height</t>
    </r>
    <r>
      <rPr>
        <sz val="8"/>
        <rFont val="Arial"/>
        <family val="2"/>
      </rPr>
      <t xml:space="preserve"> has been given  </t>
    </r>
  </si>
  <si>
    <t>Minimum Deflection Ratios</t>
  </si>
  <si>
    <t>add 200mm</t>
  </si>
  <si>
    <t>Door Width</t>
  </si>
  <si>
    <t>Ratio</t>
  </si>
  <si>
    <r>
      <t>To calculate</t>
    </r>
    <r>
      <rPr>
        <b/>
        <sz val="8"/>
        <rFont val="Arial"/>
        <family val="2"/>
      </rPr>
      <t xml:space="preserve"> cut lath width</t>
    </r>
    <r>
      <rPr>
        <sz val="8"/>
        <rFont val="Arial"/>
        <family val="2"/>
      </rPr>
      <t xml:space="preserve"> where </t>
    </r>
    <r>
      <rPr>
        <b/>
        <sz val="8"/>
        <rFont val="Arial"/>
        <family val="2"/>
      </rPr>
      <t>clear opening width</t>
    </r>
    <r>
      <rPr>
        <sz val="8"/>
        <rFont val="Arial"/>
        <family val="2"/>
      </rPr>
      <t xml:space="preserve"> has been given  </t>
    </r>
  </si>
  <si>
    <r>
      <rPr>
        <b/>
        <sz val="11"/>
        <color theme="1"/>
        <rFont val="Arial"/>
        <family val="2"/>
      </rPr>
      <t xml:space="preserve">     </t>
    </r>
    <r>
      <rPr>
        <b/>
        <u/>
        <sz val="11"/>
        <color theme="1"/>
        <rFont val="Arial"/>
        <family val="2"/>
      </rPr>
      <t>Friction Factors for doors over 7m high (for all drive and lath types)</t>
    </r>
  </si>
  <si>
    <r>
      <t xml:space="preserve">As from 10th June 2016 the material weights, friction allowances and lath thickness from </t>
    </r>
    <r>
      <rPr>
        <b/>
        <sz val="11"/>
        <rFont val="Arial"/>
        <family val="2"/>
      </rPr>
      <t>Table A</t>
    </r>
    <r>
      <rPr>
        <b/>
        <sz val="10"/>
        <rFont val="Arial"/>
        <family val="2"/>
      </rPr>
      <t xml:space="preserve"> should be used for calculation purposes on this spreadsheet with reference to the additional notes below (where applicable).</t>
    </r>
  </si>
  <si>
    <t>Description (Lath Type)</t>
  </si>
  <si>
    <t>Material Weight</t>
  </si>
  <si>
    <t>Shutters up to &amp; including 8m wide</t>
  </si>
  <si>
    <t>&gt;8m up to &amp; including 10m</t>
  </si>
  <si>
    <t>&gt;10m up to &amp; including 12m</t>
  </si>
  <si>
    <r>
      <t>25</t>
    </r>
    <r>
      <rPr>
        <b/>
        <sz val="12"/>
        <color indexed="8"/>
        <rFont val="Arial"/>
        <family val="2"/>
      </rPr>
      <t>*</t>
    </r>
  </si>
  <si>
    <r>
      <t>25</t>
    </r>
    <r>
      <rPr>
        <b/>
        <sz val="12"/>
        <rFont val="Arial"/>
        <family val="2"/>
      </rPr>
      <t>*</t>
    </r>
  </si>
  <si>
    <r>
      <rPr>
        <sz val="10"/>
        <rFont val="Arial"/>
        <family val="2"/>
      </rPr>
      <t>25</t>
    </r>
    <r>
      <rPr>
        <b/>
        <sz val="12"/>
        <rFont val="Arial"/>
        <family val="2"/>
      </rPr>
      <t>*</t>
    </r>
  </si>
  <si>
    <t>Table A    Default material weights, friction allowances and lath thicknesses for roller shutters up to 7m high</t>
  </si>
  <si>
    <t>IF IN DOUBT, CHECK</t>
  </si>
  <si>
    <r>
      <rPr>
        <sz val="10"/>
        <color rgb="FFFF0000"/>
        <rFont val="Arial"/>
        <family val="2"/>
      </rPr>
      <t xml:space="preserve">If </t>
    </r>
    <r>
      <rPr>
        <b/>
        <sz val="10"/>
        <color rgb="FFFF0000"/>
        <rFont val="Arial"/>
        <family val="2"/>
      </rPr>
      <t>D4 or WM95 Insulated lath</t>
    </r>
    <r>
      <rPr>
        <sz val="10"/>
        <color rgb="FFFF0000"/>
        <rFont val="Arial"/>
        <family val="2"/>
      </rPr>
      <t xml:space="preserve"> is specified on</t>
    </r>
    <r>
      <rPr>
        <b/>
        <sz val="10"/>
        <color rgb="FFFF0000"/>
        <rFont val="Arial"/>
        <family val="2"/>
      </rPr>
      <t xml:space="preserve"> 127mm diameter tube</t>
    </r>
    <r>
      <rPr>
        <sz val="10"/>
        <color rgb="FFFF0000"/>
        <rFont val="Arial"/>
        <family val="2"/>
      </rPr>
      <t xml:space="preserve"> then use </t>
    </r>
    <r>
      <rPr>
        <b/>
        <sz val="10"/>
        <color rgb="FFFF0000"/>
        <rFont val="Arial"/>
        <family val="2"/>
      </rPr>
      <t xml:space="preserve">30mm lath </t>
    </r>
    <r>
      <rPr>
        <sz val="10"/>
        <color rgb="FFFF0000"/>
        <rFont val="Arial"/>
        <family val="2"/>
      </rPr>
      <t>thickness.</t>
    </r>
  </si>
  <si>
    <r>
      <t xml:space="preserve">CRF 95mm Foam filled Lath </t>
    </r>
    <r>
      <rPr>
        <b/>
        <i/>
        <sz val="10"/>
        <color rgb="FFFF0000"/>
        <rFont val="Arial"/>
        <family val="2"/>
      </rPr>
      <t>is</t>
    </r>
    <r>
      <rPr>
        <b/>
        <sz val="10"/>
        <color rgb="FFFF0000"/>
        <rFont val="Arial"/>
        <family val="2"/>
      </rPr>
      <t xml:space="preserve"> suitable for use on 127mm diameter tube. </t>
    </r>
    <r>
      <rPr>
        <sz val="10"/>
        <color rgb="FFFF0000"/>
        <rFont val="Arial"/>
        <family val="2"/>
      </rPr>
      <t>Use details as given below.</t>
    </r>
  </si>
  <si>
    <r>
      <t xml:space="preserve">Lath Thickness </t>
    </r>
    <r>
      <rPr>
        <sz val="10"/>
        <color rgb="FFFF0000"/>
        <rFont val="Arial"/>
        <family val="2"/>
      </rPr>
      <t xml:space="preserve">below marked </t>
    </r>
    <r>
      <rPr>
        <b/>
        <sz val="12"/>
        <rFont val="Arial"/>
        <family val="2"/>
      </rPr>
      <t>*</t>
    </r>
    <r>
      <rPr>
        <b/>
        <sz val="10"/>
        <color rgb="FFFF0000"/>
        <rFont val="Arial"/>
        <family val="2"/>
      </rPr>
      <t xml:space="preserve"> </t>
    </r>
    <r>
      <rPr>
        <sz val="10"/>
        <color rgb="FFFF0000"/>
        <rFont val="Arial"/>
        <family val="2"/>
      </rPr>
      <t xml:space="preserve">based on using </t>
    </r>
    <r>
      <rPr>
        <b/>
        <sz val="10"/>
        <color rgb="FFFF0000"/>
        <rFont val="Arial"/>
        <family val="2"/>
      </rPr>
      <t>168.3mm or larger diameter tube.</t>
    </r>
  </si>
  <si>
    <r>
      <t xml:space="preserve">**GfA do not recommend using 100mm Insulated Lath on Barrels smaller than 168.3mm diameter. </t>
    </r>
    <r>
      <rPr>
        <sz val="10"/>
        <color rgb="FFFF0000"/>
        <rFont val="Arial"/>
        <family val="2"/>
      </rPr>
      <t>If requested to do so use</t>
    </r>
    <r>
      <rPr>
        <b/>
        <sz val="10"/>
        <color rgb="FFFF0000"/>
        <rFont val="Arial"/>
        <family val="2"/>
      </rPr>
      <t xml:space="preserve"> 30mm lath thickness </t>
    </r>
    <r>
      <rPr>
        <sz val="10"/>
        <color rgb="FFFF0000"/>
        <rFont val="Arial"/>
        <family val="2"/>
      </rPr>
      <t>on</t>
    </r>
    <r>
      <rPr>
        <b/>
        <sz val="10"/>
        <color rgb="FFFF0000"/>
        <rFont val="Arial"/>
        <family val="2"/>
      </rPr>
      <t xml:space="preserve"> 139.7mm diameter tube and 35mm lath thickness </t>
    </r>
    <r>
      <rPr>
        <sz val="10"/>
        <color rgb="FFFF0000"/>
        <rFont val="Arial"/>
        <family val="2"/>
      </rPr>
      <t>on</t>
    </r>
    <r>
      <rPr>
        <b/>
        <sz val="10"/>
        <color rgb="FFFF0000"/>
        <rFont val="Arial"/>
        <family val="2"/>
      </rPr>
      <t xml:space="preserve"> 127mm diameter tube**</t>
    </r>
  </si>
  <si>
    <t>r=</t>
  </si>
  <si>
    <r>
      <rPr>
        <b/>
        <sz val="10"/>
        <rFont val="Arial"/>
        <family val="2"/>
      </rPr>
      <t xml:space="preserve">    </t>
    </r>
    <r>
      <rPr>
        <b/>
        <u/>
        <sz val="10"/>
        <rFont val="Arial"/>
        <family val="2"/>
      </rPr>
      <t>(based on barrel centre line height)</t>
    </r>
  </si>
  <si>
    <t>Total Weight (kg)</t>
  </si>
  <si>
    <t>Shutter Weight (kg)</t>
  </si>
  <si>
    <t>Bottom Bar Weight (kg)</t>
  </si>
  <si>
    <t>SA07.22</t>
  </si>
  <si>
    <r>
      <t>For Windlocks increase weight by 0.3kg/m</t>
    </r>
    <r>
      <rPr>
        <b/>
        <vertAlign val="superscript"/>
        <sz val="10"/>
        <rFont val="Arial"/>
        <family val="2"/>
      </rPr>
      <t>2</t>
    </r>
    <r>
      <rPr>
        <b/>
        <sz val="10"/>
        <rFont val="Arial"/>
        <family val="2"/>
      </rPr>
      <t xml:space="preserve"> and increase friction by 5% (up to max 30%)</t>
    </r>
  </si>
  <si>
    <t>Review as appropriate</t>
  </si>
  <si>
    <t>See Table A</t>
  </si>
  <si>
    <t>doors &lt; 7m</t>
  </si>
  <si>
    <t>Limit Turns</t>
  </si>
  <si>
    <t>Guidance notes revised to include Minimum Deflection Ratios, Friction Factors for doors over 7m high, Windlocks note, note re doors over 9m and RCS Foam Filled Lath added to Table A. Spreadsheet renamed.</t>
  </si>
  <si>
    <t>If Max Peak Torque exceeds 1400Nm on a Safedrive Calculation for doors up to and including 7m high, use                                     15% Friction allowance. If over 7m high, refer to the Friction Factors shown above.</t>
  </si>
  <si>
    <t>Doors of 9m &amp; over (width or height) - must be referred to Senior Sales Engineer or Managing Director for checking &amp; sign-off</t>
  </si>
  <si>
    <t>22 swg Perforated</t>
  </si>
  <si>
    <t>20 swg Perforated</t>
  </si>
  <si>
    <t>18 swg Perforated</t>
  </si>
  <si>
    <r>
      <t>RCS 95mm</t>
    </r>
    <r>
      <rPr>
        <sz val="10"/>
        <color rgb="FFFF0000"/>
        <rFont val="Arial"/>
        <family val="2"/>
      </rPr>
      <t xml:space="preserve"> and</t>
    </r>
    <r>
      <rPr>
        <b/>
        <sz val="10"/>
        <color rgb="FFFF0000"/>
        <rFont val="Arial"/>
        <family val="2"/>
      </rPr>
      <t xml:space="preserve"> 77mm Foam Filled Lath </t>
    </r>
    <r>
      <rPr>
        <b/>
        <i/>
        <sz val="10"/>
        <color rgb="FFFF0000"/>
        <rFont val="Arial"/>
        <family val="2"/>
      </rPr>
      <t xml:space="preserve">are both </t>
    </r>
    <r>
      <rPr>
        <b/>
        <sz val="10"/>
        <color rgb="FFFF0000"/>
        <rFont val="Arial"/>
        <family val="2"/>
      </rPr>
      <t xml:space="preserve">suitable for use on 127mm dia tube.                                                              </t>
    </r>
    <r>
      <rPr>
        <sz val="10"/>
        <color rgb="FFFF0000"/>
        <rFont val="Arial"/>
        <family val="2"/>
      </rPr>
      <t>Use the respective details as given below.</t>
    </r>
  </si>
  <si>
    <t>SA02.24</t>
  </si>
  <si>
    <t>WM95 Laminate increased from 11.80 to 12.00Kg/sq.m as per WMS</t>
  </si>
  <si>
    <t>SA05.24</t>
  </si>
  <si>
    <t>RCS 95mm Foam Filled Lath thickness decreased from 30mm to 25mm as per RCS</t>
  </si>
  <si>
    <t>SA06.24</t>
  </si>
  <si>
    <t>Reference data from QP17 on Calculations &amp; Specifications tab refreshed in line with current document</t>
  </si>
  <si>
    <t>Breaking Strain in n</t>
  </si>
  <si>
    <t>Chain SF</t>
  </si>
  <si>
    <t>Chain pull</t>
  </si>
  <si>
    <t>Pitch (p x b)</t>
  </si>
  <si>
    <t>Teeth</t>
  </si>
  <si>
    <r>
      <t>  </t>
    </r>
    <r>
      <rPr>
        <b/>
        <sz val="7"/>
        <color rgb="FF000000"/>
        <rFont val="Verdana"/>
        <family val="2"/>
      </rPr>
      <t>Bore-Ø</t>
    </r>
  </si>
  <si>
    <r>
      <t>      </t>
    </r>
    <r>
      <rPr>
        <b/>
        <sz val="7"/>
        <color rgb="FF000000"/>
        <rFont val="Verdana"/>
        <family val="2"/>
      </rPr>
      <t>Pitch</t>
    </r>
  </si>
  <si>
    <t>   circle-Ø</t>
  </si>
  <si>
    <t>08 B-1 (1/2"x5/16")</t>
  </si>
  <si>
    <t>10 B-1 (5/8"x3/8")</t>
  </si>
  <si>
    <t>12 B-1 (3/4"x7/16")</t>
  </si>
  <si>
    <t>16 B-1 (1"x17.02mm)</t>
  </si>
  <si>
    <t>20 B-1 (1 1/4"x3/4")</t>
  </si>
  <si>
    <t>30mm /</t>
  </si>
  <si>
    <t>30-40mm /</t>
  </si>
  <si>
    <t>40-50mm /</t>
  </si>
  <si>
    <t>40-60mm /</t>
  </si>
  <si>
    <t>60mm /</t>
  </si>
  <si>
    <t>50-80mm /</t>
  </si>
  <si>
    <t>60-80mm /</t>
  </si>
  <si>
    <t>202.26mm</t>
  </si>
  <si>
    <t>230.54mm</t>
  </si>
  <si>
    <t>288.18mm</t>
  </si>
  <si>
    <t>345.81mm</t>
  </si>
  <si>
    <t>460.99mm</t>
  </si>
  <si>
    <t>364.13mm</t>
  </si>
  <si>
    <t>461.07mm</t>
  </si>
  <si>
    <t>614.65mm</t>
  </si>
  <si>
    <t>576.36mm</t>
  </si>
  <si>
    <t>20 B-1 (1 1/4"x 3/4")</t>
  </si>
  <si>
    <t>25-30mm</t>
  </si>
  <si>
    <t>1"-30mm</t>
  </si>
  <si>
    <t>30-40mm</t>
  </si>
  <si>
    <t>30mm</t>
  </si>
  <si>
    <t>40-55mm</t>
  </si>
  <si>
    <t>40mm</t>
  </si>
  <si>
    <t>55mm</t>
  </si>
  <si>
    <t>61.09mm</t>
  </si>
  <si>
    <t>77.16mm</t>
  </si>
  <si>
    <t>121.5mm</t>
  </si>
  <si>
    <t>61.34mm</t>
  </si>
  <si>
    <t>91.42mm</t>
  </si>
  <si>
    <t>73.6mm</t>
  </si>
  <si>
    <t>91.63mm</t>
  </si>
  <si>
    <t>115.75mm</t>
  </si>
  <si>
    <t>122.17mm</t>
  </si>
  <si>
    <t>192.91mm</t>
  </si>
  <si>
    <t>213.04mm</t>
  </si>
  <si>
    <t>122.68mm</t>
  </si>
  <si>
    <t>152.72mm</t>
  </si>
  <si>
    <t>  Bore-Ø</t>
  </si>
  <si>
    <t>      Pitch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</si>
</sst>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2" x14ac:knownFonts="1">
    <font>
      <sz val="10"/>
      <name val="Arial"/>
    </font>
    <font>
      <b/>
      <sz val="10"/>
      <name val="Arial"/>
      <family val="2"/>
    </font>
    <font>
      <b/>
      <u/>
      <sz val="10"/>
      <name val="Arial"/>
      <family val="2"/>
    </font>
    <font>
      <b/>
      <sz val="10"/>
      <color indexed="8"/>
      <name val="Arial"/>
      <family val="2"/>
    </font>
    <font>
      <sz val="10"/>
      <name val="Arial"/>
      <family val="2"/>
    </font>
    <font>
      <u/>
      <sz val="10"/>
      <color theme="10"/>
      <name val="Arial"/>
      <family val="2"/>
    </font>
    <font>
      <sz val="10"/>
      <color rgb="FF000000"/>
      <name val="Arial"/>
      <family val="2"/>
    </font>
    <font>
      <vertAlign val="superscript"/>
      <sz val="10"/>
      <name val="Arial"/>
      <family val="2"/>
    </font>
    <font>
      <b/>
      <sz val="10"/>
      <color rgb="FFFF0000"/>
      <name val="Arial"/>
      <family val="2"/>
    </font>
    <font>
      <sz val="10"/>
      <color rgb="FFFF0000"/>
      <name val="Arial"/>
      <family val="2"/>
    </font>
    <font>
      <b/>
      <i/>
      <sz val="10"/>
      <color rgb="FFFF0000"/>
      <name val="Arial"/>
      <family val="2"/>
    </font>
    <font>
      <sz val="9"/>
      <name val="Arial"/>
      <family val="2"/>
    </font>
    <font>
      <sz val="8"/>
      <name val="Arial"/>
      <family val="2"/>
    </font>
    <font>
      <b/>
      <sz val="8"/>
      <name val="Arial"/>
      <family val="2"/>
    </font>
    <font>
      <b/>
      <i/>
      <u/>
      <sz val="9"/>
      <name val="Arial"/>
      <family val="2"/>
    </font>
    <font>
      <b/>
      <sz val="11"/>
      <name val="Arial"/>
      <family val="2"/>
    </font>
    <font>
      <b/>
      <u/>
      <sz val="11"/>
      <color theme="1"/>
      <name val="Arial"/>
      <family val="2"/>
    </font>
    <font>
      <b/>
      <sz val="11"/>
      <color theme="1"/>
      <name val="Arial"/>
      <family val="2"/>
    </font>
    <font>
      <sz val="10"/>
      <color indexed="8"/>
      <name val="Arial"/>
      <family val="2"/>
    </font>
    <font>
      <b/>
      <sz val="12"/>
      <name val="Arial"/>
      <family val="2"/>
    </font>
    <font>
      <b/>
      <sz val="12"/>
      <color indexed="8"/>
      <name val="Arial"/>
      <family val="2"/>
    </font>
    <font>
      <sz val="11"/>
      <name val="Arial"/>
      <family val="2"/>
    </font>
    <font>
      <sz val="12"/>
      <name val="Arial"/>
      <family val="2"/>
    </font>
    <font>
      <b/>
      <sz val="12"/>
      <color theme="1"/>
      <name val="Arial"/>
      <family val="2"/>
    </font>
    <font>
      <b/>
      <i/>
      <sz val="10"/>
      <name val="Arial"/>
      <family val="2"/>
    </font>
    <font>
      <b/>
      <i/>
      <sz val="10"/>
      <color indexed="8"/>
      <name val="Arial"/>
      <family val="2"/>
    </font>
    <font>
      <i/>
      <sz val="10"/>
      <name val="Arial"/>
      <family val="2"/>
    </font>
    <font>
      <b/>
      <i/>
      <sz val="12"/>
      <color theme="0"/>
      <name val="Arial"/>
      <family val="2"/>
    </font>
    <font>
      <b/>
      <vertAlign val="superscript"/>
      <sz val="10"/>
      <name val="Arial"/>
      <family val="2"/>
    </font>
    <font>
      <i/>
      <sz val="9"/>
      <name val="Arial"/>
      <family val="2"/>
    </font>
    <font>
      <sz val="7"/>
      <color rgb="FF000000"/>
      <name val="Verdana"/>
      <family val="2"/>
    </font>
    <font>
      <b/>
      <sz val="7"/>
      <color rgb="FF000000"/>
      <name val="Verdana"/>
      <family val="2"/>
    </font>
  </fonts>
  <fills count="1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theme="0" tint="-0.149967955565050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rgb="FFFFFFA7"/>
        <bgColor indexed="64"/>
      </patternFill>
    </fill>
    <fill>
      <gradientFill degree="90">
        <stop position="0">
          <color theme="0"/>
        </stop>
        <stop position="1">
          <color rgb="FFFFFFA7"/>
        </stop>
      </gradientFill>
    </fill>
    <fill>
      <patternFill patternType="solid">
        <fgColor rgb="FFFFC000"/>
        <bgColor indexed="64"/>
      </patternFill>
    </fill>
    <fill>
      <patternFill patternType="solid">
        <fgColor rgb="FFFFFFFF"/>
        <bgColor indexed="64"/>
      </patternFill>
    </fill>
    <fill>
      <patternFill patternType="solid">
        <fgColor theme="2" tint="-9.9978637043366805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301">
    <xf numFmtId="0" fontId="0" fillId="0" borderId="0" xfId="0"/>
    <xf numFmtId="1" fontId="0" fillId="0" borderId="0" xfId="0" applyNumberFormat="1"/>
    <xf numFmtId="0" fontId="1" fillId="0" borderId="0" xfId="0" applyFont="1"/>
    <xf numFmtId="1" fontId="0" fillId="0" borderId="1" xfId="0" applyNumberFormat="1" applyBorder="1"/>
    <xf numFmtId="2" fontId="0" fillId="0" borderId="0" xfId="0" applyNumberFormat="1"/>
    <xf numFmtId="165" fontId="0" fillId="0" borderId="0" xfId="0" applyNumberFormat="1"/>
    <xf numFmtId="0" fontId="0" fillId="0" borderId="2" xfId="0" applyBorder="1"/>
    <xf numFmtId="0" fontId="0" fillId="0" borderId="3" xfId="0" applyBorder="1"/>
    <xf numFmtId="0" fontId="0" fillId="0" borderId="0" xfId="0" applyAlignment="1">
      <alignment horizontal="center"/>
    </xf>
    <xf numFmtId="0" fontId="1" fillId="0" borderId="0" xfId="0" applyFont="1" applyAlignment="1">
      <alignment horizontal="center"/>
    </xf>
    <xf numFmtId="165" fontId="0" fillId="0" borderId="5" xfId="0" applyNumberFormat="1" applyBorder="1"/>
    <xf numFmtId="165" fontId="0" fillId="0" borderId="6" xfId="0" applyNumberFormat="1" applyBorder="1"/>
    <xf numFmtId="165" fontId="0" fillId="0" borderId="7" xfId="0" applyNumberFormat="1" applyBorder="1"/>
    <xf numFmtId="0" fontId="0" fillId="0" borderId="0" xfId="0" applyAlignment="1">
      <alignment horizontal="right"/>
    </xf>
    <xf numFmtId="165" fontId="0" fillId="0" borderId="5" xfId="0" applyNumberFormat="1" applyBorder="1" applyAlignment="1">
      <alignment horizontal="right"/>
    </xf>
    <xf numFmtId="165" fontId="0" fillId="0" borderId="6" xfId="0" applyNumberFormat="1" applyBorder="1" applyAlignment="1">
      <alignment horizontal="right"/>
    </xf>
    <xf numFmtId="165" fontId="0" fillId="0" borderId="7" xfId="0" applyNumberFormat="1" applyBorder="1" applyAlignment="1">
      <alignment horizontal="right"/>
    </xf>
    <xf numFmtId="165" fontId="0" fillId="0" borderId="8" xfId="0" applyNumberFormat="1" applyBorder="1" applyAlignment="1">
      <alignment horizontal="right"/>
    </xf>
    <xf numFmtId="165" fontId="0" fillId="0" borderId="9" xfId="0" applyNumberFormat="1" applyBorder="1" applyAlignment="1">
      <alignment horizontal="right"/>
    </xf>
    <xf numFmtId="165" fontId="0" fillId="0" borderId="10" xfId="0" applyNumberFormat="1" applyBorder="1" applyAlignment="1">
      <alignment horizontal="right"/>
    </xf>
    <xf numFmtId="0" fontId="0" fillId="0" borderId="12" xfId="0" applyBorder="1" applyAlignment="1">
      <alignment horizontal="center"/>
    </xf>
    <xf numFmtId="0" fontId="0" fillId="0" borderId="13" xfId="0" applyBorder="1" applyAlignment="1">
      <alignment horizontal="center"/>
    </xf>
    <xf numFmtId="165" fontId="0" fillId="0" borderId="15" xfId="0" applyNumberFormat="1" applyBorder="1" applyAlignment="1">
      <alignment horizontal="center"/>
    </xf>
    <xf numFmtId="165" fontId="0" fillId="0" borderId="16" xfId="0" applyNumberFormat="1" applyBorder="1" applyAlignment="1">
      <alignment horizontal="center"/>
    </xf>
    <xf numFmtId="1" fontId="0" fillId="0" borderId="15" xfId="0" applyNumberFormat="1" applyBorder="1" applyAlignment="1">
      <alignment horizontal="center"/>
    </xf>
    <xf numFmtId="1" fontId="0" fillId="0" borderId="16" xfId="0" applyNumberFormat="1" applyBorder="1" applyAlignment="1">
      <alignment horizontal="center"/>
    </xf>
    <xf numFmtId="1" fontId="0" fillId="2" borderId="1" xfId="0" applyNumberFormat="1" applyFill="1" applyBorder="1" applyProtection="1">
      <protection locked="0"/>
    </xf>
    <xf numFmtId="0" fontId="0" fillId="2" borderId="1" xfId="0" applyFill="1" applyBorder="1" applyProtection="1">
      <protection locked="0"/>
    </xf>
    <xf numFmtId="0" fontId="0" fillId="0" borderId="0" xfId="0" applyProtection="1">
      <protection locked="0"/>
    </xf>
    <xf numFmtId="0" fontId="1" fillId="2" borderId="11" xfId="0" applyFont="1" applyFill="1" applyBorder="1" applyProtection="1">
      <protection locked="0"/>
    </xf>
    <xf numFmtId="0" fontId="0" fillId="2" borderId="18" xfId="0" applyFill="1" applyBorder="1" applyProtection="1">
      <protection locked="0"/>
    </xf>
    <xf numFmtId="0" fontId="1" fillId="2" borderId="12" xfId="0" applyFont="1" applyFill="1" applyBorder="1" applyProtection="1">
      <protection locked="0"/>
    </xf>
    <xf numFmtId="0" fontId="0" fillId="2" borderId="0" xfId="0" applyFill="1" applyProtection="1">
      <protection locked="0"/>
    </xf>
    <xf numFmtId="0" fontId="0" fillId="2" borderId="19" xfId="0" applyFill="1" applyBorder="1" applyProtection="1">
      <protection locked="0"/>
    </xf>
    <xf numFmtId="0" fontId="0" fillId="2" borderId="12" xfId="0" applyFill="1" applyBorder="1" applyProtection="1">
      <protection locked="0"/>
    </xf>
    <xf numFmtId="0" fontId="1" fillId="2" borderId="13" xfId="0" applyFont="1" applyFill="1" applyBorder="1" applyProtection="1">
      <protection locked="0"/>
    </xf>
    <xf numFmtId="0" fontId="0" fillId="2" borderId="20" xfId="0" applyFill="1" applyBorder="1" applyProtection="1">
      <protection locked="0"/>
    </xf>
    <xf numFmtId="22" fontId="0" fillId="2" borderId="21" xfId="0" applyNumberFormat="1" applyFill="1" applyBorder="1" applyProtection="1">
      <protection locked="0"/>
    </xf>
    <xf numFmtId="0" fontId="1" fillId="0" borderId="12" xfId="0" applyFont="1" applyBorder="1" applyAlignment="1">
      <alignment horizontal="center"/>
    </xf>
    <xf numFmtId="2" fontId="1" fillId="0" borderId="15" xfId="0" applyNumberFormat="1" applyFont="1" applyBorder="1" applyAlignment="1">
      <alignment horizontal="center"/>
    </xf>
    <xf numFmtId="1" fontId="3" fillId="0" borderId="12" xfId="0" applyNumberFormat="1" applyFont="1" applyBorder="1" applyAlignment="1">
      <alignment horizontal="center"/>
    </xf>
    <xf numFmtId="2" fontId="0" fillId="2" borderId="1" xfId="0" applyNumberFormat="1" applyFill="1" applyBorder="1" applyProtection="1">
      <protection locked="0"/>
    </xf>
    <xf numFmtId="0" fontId="2" fillId="0" borderId="0" xfId="0" applyFont="1" applyAlignment="1">
      <alignment horizontal="left" vertical="top" wrapText="1"/>
    </xf>
    <xf numFmtId="0" fontId="0" fillId="0" borderId="1" xfId="0" applyBorder="1"/>
    <xf numFmtId="0" fontId="0" fillId="4" borderId="22" xfId="0" applyFill="1" applyBorder="1"/>
    <xf numFmtId="0" fontId="4" fillId="0" borderId="23" xfId="0" applyFont="1" applyBorder="1"/>
    <xf numFmtId="14" fontId="4" fillId="0" borderId="23" xfId="0" applyNumberFormat="1" applyFont="1" applyBorder="1"/>
    <xf numFmtId="0" fontId="4" fillId="0" borderId="1" xfId="0" applyFont="1" applyBorder="1"/>
    <xf numFmtId="14" fontId="0" fillId="0" borderId="1" xfId="0" applyNumberFormat="1" applyBorder="1"/>
    <xf numFmtId="0" fontId="4" fillId="0" borderId="0" xfId="0" applyFont="1"/>
    <xf numFmtId="0" fontId="4" fillId="0" borderId="3" xfId="0" applyFont="1" applyBorder="1"/>
    <xf numFmtId="0" fontId="4" fillId="0" borderId="4" xfId="0" applyFont="1" applyBorder="1"/>
    <xf numFmtId="0" fontId="0" fillId="0" borderId="4" xfId="0" applyBorder="1"/>
    <xf numFmtId="0" fontId="4" fillId="0" borderId="12" xfId="0" applyFont="1" applyBorder="1"/>
    <xf numFmtId="165" fontId="0" fillId="0" borderId="24" xfId="0" applyNumberFormat="1" applyBorder="1" applyAlignment="1">
      <alignment horizontal="right"/>
    </xf>
    <xf numFmtId="0" fontId="1" fillId="0" borderId="0" xfId="0" applyFont="1" applyProtection="1">
      <protection locked="0"/>
    </xf>
    <xf numFmtId="22" fontId="0" fillId="0" borderId="0" xfId="0" applyNumberFormat="1" applyProtection="1">
      <protection locked="0"/>
    </xf>
    <xf numFmtId="164" fontId="1" fillId="0" borderId="0" xfId="0" applyNumberFormat="1" applyFont="1" applyAlignment="1">
      <alignment horizontal="right"/>
    </xf>
    <xf numFmtId="165" fontId="4" fillId="0" borderId="0" xfId="0" applyNumberFormat="1" applyFont="1"/>
    <xf numFmtId="0" fontId="1" fillId="5" borderId="11" xfId="0" applyFont="1" applyFill="1" applyBorder="1"/>
    <xf numFmtId="0" fontId="0" fillId="5" borderId="12" xfId="0" applyFill="1" applyBorder="1"/>
    <xf numFmtId="0" fontId="1" fillId="5" borderId="12" xfId="0" applyFont="1" applyFill="1" applyBorder="1"/>
    <xf numFmtId="0" fontId="1" fillId="5" borderId="13" xfId="0" applyFont="1" applyFill="1" applyBorder="1"/>
    <xf numFmtId="164" fontId="1" fillId="5" borderId="20" xfId="0" applyNumberFormat="1" applyFont="1" applyFill="1" applyBorder="1" applyAlignment="1">
      <alignment horizontal="right"/>
    </xf>
    <xf numFmtId="0" fontId="0" fillId="5" borderId="1" xfId="0" applyFill="1" applyBorder="1" applyProtection="1">
      <protection locked="0"/>
    </xf>
    <xf numFmtId="0" fontId="0" fillId="5" borderId="1" xfId="0" applyFill="1" applyBorder="1" applyAlignment="1" applyProtection="1">
      <alignment horizontal="right"/>
      <protection locked="0"/>
    </xf>
    <xf numFmtId="0" fontId="0" fillId="0" borderId="1" xfId="0" applyBorder="1" applyAlignment="1" applyProtection="1">
      <alignment horizontal="right"/>
      <protection locked="0"/>
    </xf>
    <xf numFmtId="1" fontId="1" fillId="0" borderId="0" xfId="0" applyNumberFormat="1" applyFont="1"/>
    <xf numFmtId="2" fontId="1" fillId="0" borderId="0" xfId="0" applyNumberFormat="1" applyFont="1"/>
    <xf numFmtId="0" fontId="4" fillId="2" borderId="17" xfId="0" applyFont="1" applyFill="1" applyBorder="1" applyProtection="1">
      <protection locked="0"/>
    </xf>
    <xf numFmtId="0" fontId="4" fillId="2" borderId="0" xfId="0" applyFont="1" applyFill="1" applyProtection="1">
      <protection locked="0"/>
    </xf>
    <xf numFmtId="0" fontId="1" fillId="2" borderId="12" xfId="0" applyFont="1" applyFill="1" applyBorder="1"/>
    <xf numFmtId="0" fontId="0" fillId="0" borderId="1" xfId="0" applyBorder="1" applyAlignment="1">
      <alignment wrapText="1"/>
    </xf>
    <xf numFmtId="0" fontId="4" fillId="0" borderId="1" xfId="0" applyFont="1" applyBorder="1" applyAlignment="1">
      <alignment wrapText="1"/>
    </xf>
    <xf numFmtId="0" fontId="5" fillId="0" borderId="0" xfId="1" applyAlignment="1" applyProtection="1">
      <alignment horizontal="left"/>
    </xf>
    <xf numFmtId="0" fontId="2" fillId="0" borderId="0" xfId="0" applyFont="1"/>
    <xf numFmtId="0" fontId="0" fillId="0" borderId="14" xfId="0" applyBorder="1" applyAlignment="1">
      <alignment horizontal="center"/>
    </xf>
    <xf numFmtId="1" fontId="4" fillId="0" borderId="14" xfId="0" applyNumberFormat="1" applyFont="1" applyBorder="1" applyAlignment="1">
      <alignment horizontal="center"/>
    </xf>
    <xf numFmtId="165" fontId="4" fillId="0" borderId="14" xfId="0" applyNumberFormat="1" applyFont="1" applyBorder="1" applyAlignment="1">
      <alignment horizontal="center"/>
    </xf>
    <xf numFmtId="0" fontId="4" fillId="0" borderId="1" xfId="0" applyFont="1" applyBorder="1" applyAlignment="1">
      <alignment horizontal="left" vertical="top" wrapText="1"/>
    </xf>
    <xf numFmtId="0" fontId="9" fillId="0" borderId="0" xfId="0" applyFont="1"/>
    <xf numFmtId="0" fontId="11" fillId="6" borderId="7" xfId="0" applyFont="1" applyFill="1" applyBorder="1" applyAlignment="1">
      <alignment horizontal="center"/>
    </xf>
    <xf numFmtId="0" fontId="12" fillId="7" borderId="5" xfId="0" applyFont="1" applyFill="1" applyBorder="1" applyAlignment="1">
      <alignment horizontal="center"/>
    </xf>
    <xf numFmtId="0" fontId="2" fillId="8" borderId="0" xfId="0" applyFont="1" applyFill="1" applyAlignment="1">
      <alignment horizontal="left" vertical="top" wrapText="1"/>
    </xf>
    <xf numFmtId="0" fontId="4" fillId="8" borderId="0" xfId="0" applyFont="1" applyFill="1" applyAlignment="1">
      <alignment horizontal="left" vertical="top" wrapText="1"/>
    </xf>
    <xf numFmtId="0" fontId="4" fillId="0" borderId="0" xfId="0" applyFont="1" applyAlignment="1">
      <alignment horizontal="left" vertical="top" wrapText="1"/>
    </xf>
    <xf numFmtId="0" fontId="4" fillId="0" borderId="34" xfId="0" applyFont="1" applyBorder="1" applyAlignment="1">
      <alignment horizontal="left" vertical="top" wrapText="1"/>
    </xf>
    <xf numFmtId="0" fontId="0" fillId="0" borderId="11" xfId="0" applyBorder="1"/>
    <xf numFmtId="0" fontId="4" fillId="0" borderId="41" xfId="0" applyFont="1" applyBorder="1" applyAlignment="1">
      <alignment horizontal="left" vertical="top" wrapText="1"/>
    </xf>
    <xf numFmtId="0" fontId="4" fillId="6" borderId="46" xfId="0" applyFont="1" applyFill="1" applyBorder="1" applyAlignment="1">
      <alignment horizontal="center" vertical="top" wrapText="1"/>
    </xf>
    <xf numFmtId="0" fontId="4" fillId="9" borderId="46" xfId="0" applyFont="1" applyFill="1" applyBorder="1" applyAlignment="1">
      <alignment horizontal="center" vertical="top" wrapText="1"/>
    </xf>
    <xf numFmtId="0" fontId="1" fillId="9" borderId="25" xfId="0" applyFont="1" applyFill="1" applyBorder="1" applyAlignment="1">
      <alignment vertical="top" wrapText="1"/>
    </xf>
    <xf numFmtId="0" fontId="1" fillId="9" borderId="26" xfId="0" applyFont="1" applyFill="1" applyBorder="1" applyAlignment="1">
      <alignment vertical="top" wrapText="1"/>
    </xf>
    <xf numFmtId="0" fontId="2" fillId="8" borderId="24" xfId="0" applyFont="1" applyFill="1" applyBorder="1" applyAlignment="1">
      <alignment horizontal="left" vertical="top" wrapText="1"/>
    </xf>
    <xf numFmtId="0" fontId="2" fillId="8" borderId="36" xfId="0" applyFont="1" applyFill="1" applyBorder="1" applyAlignment="1">
      <alignment horizontal="left" vertical="top" wrapText="1"/>
    </xf>
    <xf numFmtId="0" fontId="1" fillId="0" borderId="30" xfId="0" applyFont="1" applyBorder="1" applyAlignment="1">
      <alignment horizontal="center"/>
    </xf>
    <xf numFmtId="0" fontId="16" fillId="11" borderId="11" xfId="0" applyFont="1" applyFill="1" applyBorder="1" applyAlignment="1">
      <alignment horizontal="center" vertical="top" wrapText="1"/>
    </xf>
    <xf numFmtId="0" fontId="0" fillId="11" borderId="17" xfId="0" applyFill="1" applyBorder="1"/>
    <xf numFmtId="0" fontId="2" fillId="11" borderId="0" xfId="0" applyFont="1" applyFill="1" applyAlignment="1">
      <alignment horizontal="left" vertical="top" wrapText="1"/>
    </xf>
    <xf numFmtId="0" fontId="0" fillId="11" borderId="28" xfId="0" applyFill="1" applyBorder="1"/>
    <xf numFmtId="0" fontId="16" fillId="11" borderId="11" xfId="0" applyFont="1" applyFill="1" applyBorder="1" applyAlignment="1">
      <alignment horizontal="left" vertical="top"/>
    </xf>
    <xf numFmtId="0" fontId="2" fillId="11" borderId="17" xfId="0" applyFont="1" applyFill="1" applyBorder="1" applyAlignment="1">
      <alignment horizontal="left" vertical="top"/>
    </xf>
    <xf numFmtId="0" fontId="2" fillId="11" borderId="0" xfId="0" applyFont="1" applyFill="1" applyAlignment="1">
      <alignment horizontal="left" vertical="top"/>
    </xf>
    <xf numFmtId="0" fontId="1" fillId="0" borderId="12" xfId="0" applyFont="1" applyBorder="1"/>
    <xf numFmtId="2" fontId="4" fillId="0" borderId="15" xfId="0" applyNumberFormat="1" applyFont="1" applyBorder="1" applyAlignment="1">
      <alignment horizontal="center"/>
    </xf>
    <xf numFmtId="1" fontId="18" fillId="0" borderId="12" xfId="0" applyNumberFormat="1" applyFont="1" applyBorder="1" applyAlignment="1">
      <alignment horizontal="center"/>
    </xf>
    <xf numFmtId="0" fontId="4" fillId="0" borderId="30" xfId="0" applyFont="1" applyBorder="1" applyAlignment="1">
      <alignment horizontal="center"/>
    </xf>
    <xf numFmtId="0" fontId="4" fillId="0" borderId="12" xfId="0" applyFont="1" applyBorder="1" applyAlignment="1">
      <alignment horizontal="center"/>
    </xf>
    <xf numFmtId="0" fontId="4" fillId="0" borderId="49" xfId="0" applyFont="1" applyBorder="1"/>
    <xf numFmtId="2" fontId="4" fillId="0" borderId="50" xfId="0" applyNumberFormat="1" applyFont="1" applyBorder="1" applyAlignment="1">
      <alignment horizontal="center"/>
    </xf>
    <xf numFmtId="1" fontId="18" fillId="0" borderId="49" xfId="0" applyNumberFormat="1" applyFont="1" applyBorder="1" applyAlignment="1">
      <alignment horizontal="center"/>
    </xf>
    <xf numFmtId="0" fontId="4" fillId="0" borderId="31" xfId="0" applyFont="1" applyBorder="1" applyAlignment="1">
      <alignment horizontal="center"/>
    </xf>
    <xf numFmtId="0" fontId="4" fillId="0" borderId="49" xfId="0" applyFont="1" applyBorder="1" applyAlignment="1">
      <alignment horizontal="center"/>
    </xf>
    <xf numFmtId="164" fontId="18" fillId="0" borderId="49" xfId="0" applyNumberFormat="1" applyFont="1" applyBorder="1" applyAlignment="1">
      <alignment horizontal="center"/>
    </xf>
    <xf numFmtId="164" fontId="18" fillId="0" borderId="12" xfId="0" applyNumberFormat="1" applyFont="1" applyBorder="1" applyAlignment="1">
      <alignment horizontal="center"/>
    </xf>
    <xf numFmtId="0" fontId="0" fillId="11" borderId="0" xfId="0" applyFill="1"/>
    <xf numFmtId="1" fontId="1" fillId="5" borderId="18" xfId="0" applyNumberFormat="1" applyFont="1" applyFill="1" applyBorder="1" applyAlignment="1">
      <alignment horizontal="right"/>
    </xf>
    <xf numFmtId="0" fontId="0" fillId="5" borderId="19" xfId="0" applyFill="1" applyBorder="1" applyAlignment="1" applyProtection="1">
      <alignment horizontal="right"/>
      <protection locked="0"/>
    </xf>
    <xf numFmtId="1" fontId="1" fillId="5" borderId="19" xfId="0" applyNumberFormat="1" applyFont="1" applyFill="1" applyBorder="1" applyAlignment="1">
      <alignment horizontal="right"/>
    </xf>
    <xf numFmtId="0" fontId="1" fillId="5" borderId="19" xfId="0" applyFont="1" applyFill="1" applyBorder="1" applyAlignment="1">
      <alignment horizontal="right"/>
    </xf>
    <xf numFmtId="0" fontId="1" fillId="5" borderId="19" xfId="0" applyFont="1" applyFill="1" applyBorder="1" applyAlignment="1" applyProtection="1">
      <alignment horizontal="right"/>
      <protection locked="0"/>
    </xf>
    <xf numFmtId="0" fontId="2" fillId="11" borderId="0" xfId="0" applyFont="1" applyFill="1" applyAlignment="1">
      <alignment vertical="top" wrapText="1"/>
    </xf>
    <xf numFmtId="0" fontId="14" fillId="11" borderId="12" xfId="0" applyFont="1" applyFill="1" applyBorder="1" applyAlignment="1">
      <alignment horizontal="left" vertical="top" wrapText="1"/>
    </xf>
    <xf numFmtId="0" fontId="14" fillId="11" borderId="4" xfId="0" applyFont="1" applyFill="1" applyBorder="1" applyAlignment="1">
      <alignment horizontal="left" vertical="top" wrapText="1"/>
    </xf>
    <xf numFmtId="0" fontId="0" fillId="12" borderId="0" xfId="0" applyFill="1" applyAlignment="1">
      <alignment horizontal="left" vertical="top" wrapText="1"/>
    </xf>
    <xf numFmtId="0" fontId="4" fillId="0" borderId="41" xfId="0" applyFont="1" applyBorder="1"/>
    <xf numFmtId="2" fontId="4" fillId="0" borderId="40" xfId="0" applyNumberFormat="1" applyFont="1" applyBorder="1" applyAlignment="1">
      <alignment horizontal="center"/>
    </xf>
    <xf numFmtId="1" fontId="18" fillId="0" borderId="41" xfId="0" applyNumberFormat="1" applyFont="1" applyBorder="1" applyAlignment="1">
      <alignment horizontal="center"/>
    </xf>
    <xf numFmtId="0" fontId="4" fillId="0" borderId="53" xfId="0" applyFont="1" applyBorder="1" applyAlignment="1">
      <alignment horizontal="center"/>
    </xf>
    <xf numFmtId="0" fontId="4" fillId="0" borderId="41" xfId="0" applyFont="1" applyBorder="1" applyAlignment="1">
      <alignment horizontal="center"/>
    </xf>
    <xf numFmtId="0" fontId="2" fillId="0" borderId="41" xfId="0" applyFont="1" applyBorder="1"/>
    <xf numFmtId="0" fontId="4" fillId="6" borderId="12" xfId="0" applyFont="1" applyFill="1" applyBorder="1"/>
    <xf numFmtId="2" fontId="4" fillId="6" borderId="15" xfId="0" applyNumberFormat="1" applyFont="1" applyFill="1" applyBorder="1" applyAlignment="1">
      <alignment horizontal="center"/>
    </xf>
    <xf numFmtId="1" fontId="18" fillId="6" borderId="12" xfId="0" applyNumberFormat="1" applyFont="1" applyFill="1" applyBorder="1" applyAlignment="1">
      <alignment horizontal="center"/>
    </xf>
    <xf numFmtId="0" fontId="4" fillId="6" borderId="30" xfId="0" applyFont="1" applyFill="1" applyBorder="1" applyAlignment="1">
      <alignment horizontal="center"/>
    </xf>
    <xf numFmtId="0" fontId="4" fillId="6" borderId="12" xfId="0" applyFont="1" applyFill="1" applyBorder="1" applyAlignment="1">
      <alignment horizontal="center"/>
    </xf>
    <xf numFmtId="0" fontId="4" fillId="6" borderId="41" xfId="0" applyFont="1" applyFill="1" applyBorder="1"/>
    <xf numFmtId="2" fontId="4" fillId="6" borderId="40" xfId="0" applyNumberFormat="1" applyFont="1" applyFill="1" applyBorder="1" applyAlignment="1">
      <alignment horizontal="center"/>
    </xf>
    <xf numFmtId="1" fontId="18" fillId="6" borderId="41" xfId="0" applyNumberFormat="1" applyFont="1" applyFill="1" applyBorder="1" applyAlignment="1">
      <alignment horizontal="center"/>
    </xf>
    <xf numFmtId="0" fontId="4" fillId="6" borderId="53" xfId="0" applyFont="1" applyFill="1" applyBorder="1" applyAlignment="1">
      <alignment horizontal="center"/>
    </xf>
    <xf numFmtId="0" fontId="4" fillId="6" borderId="41" xfId="0" applyFont="1" applyFill="1" applyBorder="1" applyAlignment="1">
      <alignment horizontal="center"/>
    </xf>
    <xf numFmtId="0" fontId="4" fillId="6" borderId="32" xfId="0" applyFont="1" applyFill="1" applyBorder="1"/>
    <xf numFmtId="2" fontId="4" fillId="6" borderId="52" xfId="0" applyNumberFormat="1" applyFont="1" applyFill="1" applyBorder="1" applyAlignment="1">
      <alignment horizontal="center"/>
    </xf>
    <xf numFmtId="1" fontId="18" fillId="6" borderId="32" xfId="0" applyNumberFormat="1" applyFont="1" applyFill="1" applyBorder="1" applyAlignment="1">
      <alignment horizontal="center"/>
    </xf>
    <xf numFmtId="0" fontId="4" fillId="6" borderId="46" xfId="0" applyFont="1" applyFill="1" applyBorder="1" applyAlignment="1">
      <alignment horizontal="center"/>
    </xf>
    <xf numFmtId="0" fontId="4" fillId="6" borderId="32" xfId="0" applyFont="1" applyFill="1" applyBorder="1" applyAlignment="1">
      <alignment horizontal="center"/>
    </xf>
    <xf numFmtId="0" fontId="4" fillId="6" borderId="49" xfId="0" applyFont="1" applyFill="1" applyBorder="1"/>
    <xf numFmtId="2" fontId="4" fillId="6" borderId="50" xfId="0" applyNumberFormat="1" applyFont="1" applyFill="1" applyBorder="1" applyAlignment="1">
      <alignment horizontal="center"/>
    </xf>
    <xf numFmtId="1" fontId="18" fillId="6" borderId="49" xfId="0" applyNumberFormat="1" applyFont="1" applyFill="1" applyBorder="1" applyAlignment="1">
      <alignment horizontal="center"/>
    </xf>
    <xf numFmtId="0" fontId="4" fillId="6" borderId="31" xfId="0" applyFont="1" applyFill="1" applyBorder="1" applyAlignment="1">
      <alignment horizontal="center"/>
    </xf>
    <xf numFmtId="0" fontId="4" fillId="6" borderId="49" xfId="0" applyFont="1" applyFill="1" applyBorder="1" applyAlignment="1">
      <alignment horizontal="center"/>
    </xf>
    <xf numFmtId="0" fontId="4" fillId="6" borderId="41" xfId="0" applyFont="1" applyFill="1" applyBorder="1" applyAlignment="1">
      <alignment horizontal="left" vertical="top" wrapText="1"/>
    </xf>
    <xf numFmtId="0" fontId="2" fillId="6" borderId="24" xfId="0" applyFont="1" applyFill="1" applyBorder="1" applyAlignment="1">
      <alignment horizontal="left" vertical="top" wrapText="1"/>
    </xf>
    <xf numFmtId="0" fontId="12" fillId="9" borderId="29" xfId="0" applyFont="1" applyFill="1" applyBorder="1" applyAlignment="1">
      <alignment horizontal="right" vertical="top"/>
    </xf>
    <xf numFmtId="0" fontId="12" fillId="9" borderId="30" xfId="0" applyFont="1" applyFill="1" applyBorder="1" applyAlignment="1">
      <alignment horizontal="center" vertical="top" wrapText="1"/>
    </xf>
    <xf numFmtId="0" fontId="4" fillId="9" borderId="47" xfId="0" applyFont="1" applyFill="1" applyBorder="1" applyAlignment="1">
      <alignment horizontal="center" vertical="top" wrapText="1"/>
    </xf>
    <xf numFmtId="0" fontId="12" fillId="9" borderId="19" xfId="0" applyFont="1" applyFill="1" applyBorder="1" applyAlignment="1">
      <alignment horizontal="right" vertical="top"/>
    </xf>
    <xf numFmtId="0" fontId="0" fillId="11" borderId="18" xfId="0" applyFill="1" applyBorder="1"/>
    <xf numFmtId="0" fontId="1" fillId="9" borderId="28" xfId="0" applyFont="1" applyFill="1" applyBorder="1" applyAlignment="1">
      <alignment vertical="top" wrapText="1"/>
    </xf>
    <xf numFmtId="0" fontId="0" fillId="11" borderId="51" xfId="0" applyFill="1" applyBorder="1"/>
    <xf numFmtId="0" fontId="0" fillId="11" borderId="19" xfId="0" applyFill="1" applyBorder="1"/>
    <xf numFmtId="0" fontId="22" fillId="6" borderId="12" xfId="0" applyFont="1" applyFill="1" applyBorder="1" applyAlignment="1">
      <alignment horizontal="center"/>
    </xf>
    <xf numFmtId="0" fontId="2" fillId="11" borderId="12" xfId="0" applyFont="1" applyFill="1" applyBorder="1" applyAlignment="1">
      <alignment horizontal="center" vertical="center" wrapText="1"/>
    </xf>
    <xf numFmtId="0" fontId="14" fillId="11" borderId="4" xfId="0" applyFont="1" applyFill="1" applyBorder="1" applyAlignment="1">
      <alignment horizontal="left" vertical="center" wrapText="1"/>
    </xf>
    <xf numFmtId="0" fontId="1" fillId="11" borderId="0" xfId="0" applyFont="1" applyFill="1" applyAlignment="1">
      <alignment vertical="top" wrapText="1"/>
    </xf>
    <xf numFmtId="0" fontId="1" fillId="11" borderId="8" xfId="0" applyFont="1" applyFill="1" applyBorder="1" applyAlignment="1">
      <alignment vertical="top" wrapText="1"/>
    </xf>
    <xf numFmtId="0" fontId="23" fillId="11" borderId="12" xfId="0" applyFont="1" applyFill="1" applyBorder="1"/>
    <xf numFmtId="0" fontId="25" fillId="11" borderId="13" xfId="0" applyFont="1" applyFill="1" applyBorder="1" applyAlignment="1">
      <alignment horizontal="center"/>
    </xf>
    <xf numFmtId="0" fontId="24" fillId="11" borderId="13" xfId="0" applyFont="1" applyFill="1" applyBorder="1" applyAlignment="1">
      <alignment horizontal="center"/>
    </xf>
    <xf numFmtId="0" fontId="25" fillId="11" borderId="45" xfId="0" applyFont="1" applyFill="1" applyBorder="1" applyAlignment="1">
      <alignment horizontal="center"/>
    </xf>
    <xf numFmtId="0" fontId="24" fillId="11" borderId="21" xfId="0" applyFont="1" applyFill="1" applyBorder="1" applyAlignment="1">
      <alignment horizontal="center"/>
    </xf>
    <xf numFmtId="0" fontId="24" fillId="11" borderId="45" xfId="0" applyFont="1" applyFill="1" applyBorder="1" applyAlignment="1">
      <alignment horizontal="center"/>
    </xf>
    <xf numFmtId="0" fontId="1" fillId="9" borderId="51" xfId="0" applyFont="1" applyFill="1" applyBorder="1" applyAlignment="1">
      <alignment vertical="top" wrapText="1"/>
    </xf>
    <xf numFmtId="0" fontId="0" fillId="8" borderId="42" xfId="0" applyFill="1" applyBorder="1" applyAlignment="1">
      <alignment horizontal="left" vertical="top" wrapText="1"/>
    </xf>
    <xf numFmtId="0" fontId="0" fillId="8" borderId="43" xfId="0" applyFill="1" applyBorder="1" applyAlignment="1">
      <alignment horizontal="left" vertical="top" wrapText="1"/>
    </xf>
    <xf numFmtId="0" fontId="8" fillId="8" borderId="12" xfId="0" applyFont="1" applyFill="1" applyBorder="1" applyAlignment="1">
      <alignment horizontal="center" vertical="center" wrapText="1"/>
    </xf>
    <xf numFmtId="0" fontId="8" fillId="8" borderId="0" xfId="0" applyFont="1" applyFill="1" applyAlignment="1">
      <alignment horizontal="center" vertical="center" wrapText="1"/>
    </xf>
    <xf numFmtId="0" fontId="8" fillId="8" borderId="19"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19" xfId="0" applyFont="1" applyFill="1" applyBorder="1" applyAlignment="1">
      <alignment horizontal="center" vertical="center" wrapText="1"/>
    </xf>
    <xf numFmtId="0" fontId="4" fillId="8" borderId="12" xfId="0" applyFont="1" applyFill="1" applyBorder="1" applyAlignment="1">
      <alignment horizontal="left" vertical="top" wrapText="1"/>
    </xf>
    <xf numFmtId="0" fontId="4" fillId="8" borderId="19" xfId="0" applyFont="1" applyFill="1" applyBorder="1" applyAlignment="1">
      <alignment horizontal="left" vertical="top" wrapText="1"/>
    </xf>
    <xf numFmtId="0" fontId="0" fillId="8" borderId="44" xfId="0" applyFill="1" applyBorder="1" applyAlignment="1">
      <alignment horizontal="left" vertical="top" wrapText="1"/>
    </xf>
    <xf numFmtId="0" fontId="26" fillId="0" borderId="0" xfId="0" applyFont="1"/>
    <xf numFmtId="0" fontId="21" fillId="0" borderId="0" xfId="0" applyFont="1"/>
    <xf numFmtId="0" fontId="0" fillId="0" borderId="11" xfId="0" applyBorder="1" applyAlignment="1">
      <alignment horizontal="center"/>
    </xf>
    <xf numFmtId="0" fontId="0" fillId="0" borderId="39" xfId="0" applyBorder="1"/>
    <xf numFmtId="0" fontId="0" fillId="0" borderId="39" xfId="0" applyBorder="1" applyAlignment="1">
      <alignment horizontal="center"/>
    </xf>
    <xf numFmtId="0" fontId="6" fillId="0" borderId="12" xfId="0" applyFont="1" applyBorder="1"/>
    <xf numFmtId="0" fontId="2" fillId="11" borderId="12" xfId="0" applyFont="1" applyFill="1" applyBorder="1" applyAlignment="1">
      <alignment wrapText="1"/>
    </xf>
    <xf numFmtId="0" fontId="2" fillId="11" borderId="12" xfId="0" applyFont="1" applyFill="1" applyBorder="1"/>
    <xf numFmtId="1" fontId="4" fillId="0" borderId="41" xfId="0" applyNumberFormat="1" applyFont="1" applyBorder="1" applyAlignment="1">
      <alignment horizontal="center"/>
    </xf>
    <xf numFmtId="0" fontId="4" fillId="0" borderId="13" xfId="0" applyFont="1" applyBorder="1"/>
    <xf numFmtId="1" fontId="4" fillId="0" borderId="13" xfId="0" applyNumberFormat="1" applyFont="1" applyBorder="1" applyAlignment="1">
      <alignment horizontal="center"/>
    </xf>
    <xf numFmtId="0" fontId="4" fillId="0" borderId="45" xfId="0" applyFont="1" applyBorder="1" applyAlignment="1">
      <alignment horizontal="center"/>
    </xf>
    <xf numFmtId="0" fontId="14" fillId="6" borderId="0" xfId="0" applyFont="1" applyFill="1" applyAlignment="1">
      <alignment horizontal="left" vertical="center" wrapText="1"/>
    </xf>
    <xf numFmtId="0" fontId="14" fillId="6" borderId="9" xfId="0" applyFont="1" applyFill="1" applyBorder="1" applyAlignment="1">
      <alignment horizontal="left" vertical="center" wrapText="1"/>
    </xf>
    <xf numFmtId="0" fontId="14" fillId="11" borderId="49" xfId="0" applyFont="1" applyFill="1" applyBorder="1" applyAlignment="1">
      <alignment horizontal="left" vertical="center"/>
    </xf>
    <xf numFmtId="0" fontId="4" fillId="8" borderId="32" xfId="0" applyFont="1" applyFill="1" applyBorder="1" applyAlignment="1">
      <alignment horizontal="left" vertical="top" wrapText="1"/>
    </xf>
    <xf numFmtId="9" fontId="4" fillId="8" borderId="1" xfId="0" applyNumberFormat="1" applyFont="1" applyFill="1" applyBorder="1" applyAlignment="1">
      <alignment horizontal="left" vertical="top" wrapText="1"/>
    </xf>
    <xf numFmtId="9" fontId="4" fillId="8" borderId="25" xfId="0" applyNumberFormat="1" applyFont="1" applyFill="1" applyBorder="1" applyAlignment="1">
      <alignment horizontal="left" vertical="top" wrapText="1"/>
    </xf>
    <xf numFmtId="9" fontId="4" fillId="8" borderId="26" xfId="0" applyNumberFormat="1" applyFont="1" applyFill="1" applyBorder="1" applyAlignment="1">
      <alignment horizontal="left" vertical="top" wrapText="1"/>
    </xf>
    <xf numFmtId="0" fontId="2" fillId="8" borderId="27" xfId="0" applyFont="1" applyFill="1" applyBorder="1" applyAlignment="1">
      <alignment horizontal="left" vertical="top" wrapText="1"/>
    </xf>
    <xf numFmtId="0" fontId="4" fillId="6" borderId="12" xfId="0" applyFont="1" applyFill="1" applyBorder="1" applyAlignment="1">
      <alignment horizontal="left" vertical="top" wrapText="1"/>
    </xf>
    <xf numFmtId="9" fontId="4" fillId="6" borderId="6" xfId="0" applyNumberFormat="1" applyFont="1" applyFill="1" applyBorder="1" applyAlignment="1">
      <alignment horizontal="left" vertical="top" wrapText="1"/>
    </xf>
    <xf numFmtId="9" fontId="4" fillId="6" borderId="3" xfId="0" applyNumberFormat="1" applyFont="1" applyFill="1" applyBorder="1" applyAlignment="1">
      <alignment horizontal="left" vertical="top" wrapText="1"/>
    </xf>
    <xf numFmtId="9" fontId="4" fillId="6" borderId="0" xfId="0" applyNumberFormat="1" applyFont="1" applyFill="1" applyAlignment="1">
      <alignment horizontal="left" vertical="top" wrapText="1"/>
    </xf>
    <xf numFmtId="0" fontId="2" fillId="6" borderId="9" xfId="0" applyFont="1" applyFill="1" applyBorder="1" applyAlignment="1">
      <alignment horizontal="left" vertical="top" wrapText="1"/>
    </xf>
    <xf numFmtId="0" fontId="4" fillId="9" borderId="33" xfId="0" applyFont="1" applyFill="1" applyBorder="1" applyAlignment="1">
      <alignment horizontal="center" vertical="top" wrapText="1"/>
    </xf>
    <xf numFmtId="0" fontId="4" fillId="6" borderId="19" xfId="0" applyFont="1" applyFill="1" applyBorder="1" applyAlignment="1">
      <alignment horizontal="center" vertical="top" wrapText="1"/>
    </xf>
    <xf numFmtId="0" fontId="4" fillId="6" borderId="34" xfId="0" applyFont="1" applyFill="1" applyBorder="1" applyAlignment="1">
      <alignment horizontal="left" vertical="center" wrapText="1"/>
    </xf>
    <xf numFmtId="9" fontId="4" fillId="6" borderId="35" xfId="0" applyNumberFormat="1" applyFont="1" applyFill="1" applyBorder="1" applyAlignment="1">
      <alignment horizontal="left" vertical="center" wrapText="1"/>
    </xf>
    <xf numFmtId="9" fontId="4" fillId="6" borderId="48" xfId="0" applyNumberFormat="1" applyFont="1" applyFill="1" applyBorder="1" applyAlignment="1">
      <alignment horizontal="left" vertical="center" wrapText="1"/>
    </xf>
    <xf numFmtId="9" fontId="4" fillId="6" borderId="36" xfId="0" applyNumberFormat="1" applyFont="1" applyFill="1" applyBorder="1" applyAlignment="1">
      <alignment horizontal="left" vertical="top" wrapText="1"/>
    </xf>
    <xf numFmtId="0" fontId="2" fillId="6" borderId="37" xfId="0" applyFont="1" applyFill="1" applyBorder="1" applyAlignment="1">
      <alignment horizontal="left" vertical="top" wrapText="1"/>
    </xf>
    <xf numFmtId="0" fontId="12" fillId="6" borderId="38" xfId="0" applyFont="1" applyFill="1" applyBorder="1" applyAlignment="1">
      <alignment horizontal="center" vertical="top" wrapText="1"/>
    </xf>
    <xf numFmtId="0" fontId="12" fillId="9" borderId="31" xfId="0" applyFont="1" applyFill="1" applyBorder="1" applyAlignment="1">
      <alignment horizontal="center" vertical="top" wrapText="1"/>
    </xf>
    <xf numFmtId="0" fontId="29" fillId="6" borderId="12" xfId="0" applyFont="1" applyFill="1" applyBorder="1" applyAlignment="1">
      <alignment horizontal="left" vertical="center"/>
    </xf>
    <xf numFmtId="0" fontId="29" fillId="6" borderId="4" xfId="0" applyFont="1" applyFill="1" applyBorder="1" applyAlignment="1">
      <alignment horizontal="left" vertical="center" wrapText="1"/>
    </xf>
    <xf numFmtId="0" fontId="29" fillId="6" borderId="3" xfId="0" applyFont="1" applyFill="1" applyBorder="1" applyAlignment="1">
      <alignment horizontal="left" vertical="center" wrapText="1"/>
    </xf>
    <xf numFmtId="1" fontId="4" fillId="6" borderId="12" xfId="0" applyNumberFormat="1" applyFont="1" applyFill="1" applyBorder="1" applyAlignment="1">
      <alignment horizontal="center"/>
    </xf>
    <xf numFmtId="2" fontId="4" fillId="0" borderId="16" xfId="0" applyNumberFormat="1" applyFont="1" applyBorder="1" applyAlignment="1">
      <alignment horizontal="center"/>
    </xf>
    <xf numFmtId="0" fontId="4" fillId="0" borderId="13" xfId="0" applyFont="1" applyBorder="1" applyAlignment="1">
      <alignment horizontal="center"/>
    </xf>
    <xf numFmtId="0" fontId="11" fillId="7" borderId="5" xfId="0" applyFont="1" applyFill="1" applyBorder="1" applyAlignment="1">
      <alignment horizontal="center"/>
    </xf>
    <xf numFmtId="164" fontId="0" fillId="0" borderId="1" xfId="0" applyNumberFormat="1" applyBorder="1"/>
    <xf numFmtId="2" fontId="0" fillId="0" borderId="1" xfId="0" applyNumberFormat="1" applyBorder="1"/>
    <xf numFmtId="2" fontId="1" fillId="13" borderId="0" xfId="0" applyNumberFormat="1" applyFont="1" applyFill="1"/>
    <xf numFmtId="165" fontId="4" fillId="0" borderId="1" xfId="0" applyNumberFormat="1" applyFont="1" applyBorder="1"/>
    <xf numFmtId="0" fontId="4" fillId="7" borderId="1" xfId="0" applyFont="1" applyFill="1" applyBorder="1"/>
    <xf numFmtId="165" fontId="4" fillId="7" borderId="1" xfId="0" applyNumberFormat="1" applyFont="1" applyFill="1" applyBorder="1"/>
    <xf numFmtId="0" fontId="0" fillId="7" borderId="1" xfId="0" applyFill="1" applyBorder="1"/>
    <xf numFmtId="0" fontId="30" fillId="14" borderId="1" xfId="0" applyFont="1" applyFill="1" applyBorder="1" applyAlignment="1">
      <alignment vertical="top" wrapText="1"/>
    </xf>
    <xf numFmtId="0" fontId="30" fillId="14" borderId="1" xfId="0" applyFont="1" applyFill="1" applyBorder="1" applyAlignment="1">
      <alignment horizontal="center" vertical="top" wrapText="1"/>
    </xf>
    <xf numFmtId="0" fontId="30" fillId="15" borderId="1" xfId="0" applyFont="1" applyFill="1" applyBorder="1" applyAlignment="1">
      <alignment vertical="top" wrapText="1"/>
    </xf>
    <xf numFmtId="0" fontId="30" fillId="15" borderId="1" xfId="0" applyFont="1" applyFill="1" applyBorder="1" applyAlignment="1">
      <alignment horizontal="center" vertical="top" wrapText="1"/>
    </xf>
    <xf numFmtId="0" fontId="31" fillId="7" borderId="1" xfId="0" applyFont="1" applyFill="1" applyBorder="1" applyAlignment="1">
      <alignment vertical="top" wrapText="1"/>
    </xf>
    <xf numFmtId="0" fontId="30" fillId="7" borderId="1" xfId="0" applyFont="1" applyFill="1" applyBorder="1" applyAlignment="1">
      <alignment vertical="top" wrapText="1"/>
    </xf>
    <xf numFmtId="0" fontId="0" fillId="7" borderId="1" xfId="0" applyFill="1" applyBorder="1" applyAlignment="1">
      <alignment horizontal="center"/>
    </xf>
    <xf numFmtId="0" fontId="0" fillId="0" borderId="1" xfId="0" applyBorder="1" applyAlignment="1">
      <alignment horizontal="center"/>
    </xf>
    <xf numFmtId="164" fontId="4" fillId="2" borderId="1" xfId="0" applyNumberFormat="1" applyFont="1" applyFill="1" applyBorder="1" applyProtection="1">
      <protection locked="0"/>
    </xf>
    <xf numFmtId="1" fontId="4" fillId="0" borderId="0" xfId="0" applyNumberFormat="1" applyFont="1"/>
    <xf numFmtId="1" fontId="4" fillId="0" borderId="1" xfId="0" applyNumberFormat="1" applyFont="1" applyBorder="1"/>
    <xf numFmtId="1" fontId="4" fillId="0" borderId="0" xfId="0" applyNumberFormat="1" applyFont="1" applyAlignment="1">
      <alignment horizontal="right"/>
    </xf>
    <xf numFmtId="2" fontId="4" fillId="0" borderId="1" xfId="0" applyNumberFormat="1" applyFont="1" applyBorder="1"/>
    <xf numFmtId="1" fontId="4" fillId="3" borderId="1" xfId="0" applyNumberFormat="1" applyFont="1" applyFill="1" applyBorder="1"/>
    <xf numFmtId="0" fontId="4" fillId="2" borderId="1" xfId="0" applyFont="1" applyFill="1" applyBorder="1" applyProtection="1">
      <protection locked="0"/>
    </xf>
    <xf numFmtId="0" fontId="4" fillId="0" borderId="0" xfId="0" applyFont="1" applyProtection="1">
      <protection locked="0"/>
    </xf>
    <xf numFmtId="0" fontId="31" fillId="7" borderId="1" xfId="0" applyFont="1" applyFill="1" applyBorder="1" applyAlignment="1">
      <alignment vertical="top" wrapText="1"/>
    </xf>
    <xf numFmtId="0" fontId="30" fillId="7" borderId="1" xfId="0" applyFont="1" applyFill="1" applyBorder="1" applyAlignment="1">
      <alignment vertical="top" wrapText="1"/>
    </xf>
    <xf numFmtId="0" fontId="1" fillId="11" borderId="11" xfId="0" applyFont="1" applyFill="1" applyBorder="1" applyAlignment="1">
      <alignment horizontal="center" vertical="top" wrapText="1"/>
    </xf>
    <xf numFmtId="0" fontId="1" fillId="11" borderId="17" xfId="0" applyFont="1" applyFill="1" applyBorder="1" applyAlignment="1">
      <alignment horizontal="center" vertical="top" wrapText="1"/>
    </xf>
    <xf numFmtId="0" fontId="1" fillId="11" borderId="18" xfId="0" applyFont="1" applyFill="1" applyBorder="1" applyAlignment="1">
      <alignment horizontal="center" vertical="top" wrapText="1"/>
    </xf>
    <xf numFmtId="0" fontId="1" fillId="11" borderId="13" xfId="0" applyFont="1" applyFill="1" applyBorder="1" applyAlignment="1">
      <alignment horizontal="center" vertical="top" wrapText="1"/>
    </xf>
    <xf numFmtId="0" fontId="1" fillId="11" borderId="21" xfId="0" applyFont="1" applyFill="1" applyBorder="1" applyAlignment="1">
      <alignment horizontal="center" vertical="top" wrapText="1"/>
    </xf>
    <xf numFmtId="0" fontId="1" fillId="11" borderId="20" xfId="0" applyFont="1" applyFill="1" applyBorder="1" applyAlignment="1">
      <alignment horizontal="center" vertical="top" wrapText="1"/>
    </xf>
    <xf numFmtId="0" fontId="8" fillId="8" borderId="12" xfId="0" applyFont="1" applyFill="1" applyBorder="1" applyAlignment="1">
      <alignment horizontal="center"/>
    </xf>
    <xf numFmtId="0" fontId="8" fillId="8" borderId="0" xfId="0" applyFont="1" applyFill="1" applyAlignment="1">
      <alignment horizontal="center"/>
    </xf>
    <xf numFmtId="0" fontId="8" fillId="8" borderId="19" xfId="0" applyFont="1" applyFill="1" applyBorder="1" applyAlignment="1">
      <alignment horizontal="center"/>
    </xf>
    <xf numFmtId="0" fontId="2" fillId="11" borderId="12" xfId="0" applyFont="1" applyFill="1" applyBorder="1" applyAlignment="1">
      <alignment horizontal="center" vertical="center" wrapText="1"/>
    </xf>
    <xf numFmtId="0" fontId="17" fillId="11" borderId="11" xfId="0" applyFont="1" applyFill="1" applyBorder="1" applyAlignment="1">
      <alignment horizontal="center" vertical="center"/>
    </xf>
    <xf numFmtId="0" fontId="17" fillId="11" borderId="17" xfId="0" applyFont="1" applyFill="1" applyBorder="1" applyAlignment="1">
      <alignment horizontal="center" vertical="center"/>
    </xf>
    <xf numFmtId="0" fontId="17" fillId="11" borderId="0" xfId="0" applyFont="1" applyFill="1" applyAlignment="1">
      <alignment horizontal="center" vertical="center"/>
    </xf>
    <xf numFmtId="0" fontId="17" fillId="11" borderId="18" xfId="0" applyFont="1" applyFill="1" applyBorder="1" applyAlignment="1">
      <alignment horizontal="center" vertical="center"/>
    </xf>
    <xf numFmtId="0" fontId="1" fillId="11" borderId="42" xfId="0" applyFont="1" applyFill="1" applyBorder="1" applyAlignment="1">
      <alignment horizontal="center" vertical="center" wrapText="1"/>
    </xf>
    <xf numFmtId="0" fontId="1" fillId="11" borderId="43" xfId="0" applyFont="1" applyFill="1" applyBorder="1" applyAlignment="1">
      <alignment horizontal="center" vertical="center" wrapText="1"/>
    </xf>
    <xf numFmtId="0" fontId="1" fillId="11" borderId="44" xfId="0" applyFont="1" applyFill="1" applyBorder="1" applyAlignment="1">
      <alignment horizontal="center" vertical="center" wrapText="1"/>
    </xf>
    <xf numFmtId="0" fontId="27" fillId="10" borderId="42" xfId="0" applyFont="1" applyFill="1" applyBorder="1" applyAlignment="1">
      <alignment horizontal="center" vertical="top" wrapText="1"/>
    </xf>
    <xf numFmtId="0" fontId="27" fillId="10" borderId="43" xfId="0" applyFont="1" applyFill="1" applyBorder="1" applyAlignment="1">
      <alignment horizontal="center" vertical="top" wrapText="1"/>
    </xf>
    <xf numFmtId="0" fontId="27" fillId="10" borderId="44" xfId="0" applyFont="1" applyFill="1" applyBorder="1" applyAlignment="1">
      <alignment horizontal="center" vertical="top" wrapText="1"/>
    </xf>
    <xf numFmtId="0" fontId="8" fillId="8" borderId="11"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8" fillId="8" borderId="18" xfId="0" applyFont="1" applyFill="1" applyBorder="1" applyAlignment="1">
      <alignment horizontal="center" vertical="center" wrapText="1"/>
    </xf>
    <xf numFmtId="0" fontId="11" fillId="11" borderId="17" xfId="0" applyFont="1" applyFill="1" applyBorder="1" applyAlignment="1">
      <alignment horizontal="center" vertical="top" wrapText="1"/>
    </xf>
    <xf numFmtId="0" fontId="11" fillId="11" borderId="18" xfId="0" applyFont="1" applyFill="1" applyBorder="1" applyAlignment="1">
      <alignment horizontal="center" vertical="top" wrapText="1"/>
    </xf>
    <xf numFmtId="0" fontId="8" fillId="8" borderId="12" xfId="0" applyFont="1" applyFill="1" applyBorder="1" applyAlignment="1">
      <alignment horizontal="center" vertical="center" wrapText="1"/>
    </xf>
    <xf numFmtId="0" fontId="8" fillId="8" borderId="0" xfId="0" applyFont="1" applyFill="1" applyAlignment="1">
      <alignment horizontal="center" vertical="center" wrapText="1"/>
    </xf>
    <xf numFmtId="0" fontId="8" fillId="8" borderId="19"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19" xfId="0" applyFont="1" applyFill="1" applyBorder="1" applyAlignment="1">
      <alignment horizontal="center" vertical="center" wrapText="1"/>
    </xf>
    <xf numFmtId="0" fontId="4" fillId="8" borderId="2" xfId="0" applyFont="1" applyFill="1" applyBorder="1" applyAlignment="1">
      <alignment horizontal="left" vertical="top" wrapText="1"/>
    </xf>
    <xf numFmtId="0" fontId="4" fillId="8" borderId="24" xfId="0" applyFont="1" applyFill="1" applyBorder="1" applyAlignment="1">
      <alignment horizontal="left" vertical="top" wrapText="1"/>
    </xf>
    <xf numFmtId="0" fontId="4" fillId="6" borderId="2" xfId="0" applyFont="1" applyFill="1" applyBorder="1" applyAlignment="1">
      <alignment horizontal="left" vertical="top" wrapText="1"/>
    </xf>
    <xf numFmtId="0" fontId="4" fillId="6" borderId="24" xfId="0" applyFont="1" applyFill="1" applyBorder="1" applyAlignment="1">
      <alignment horizontal="left" vertical="top" wrapText="1"/>
    </xf>
    <xf numFmtId="0" fontId="4" fillId="8" borderId="48" xfId="0" applyFont="1" applyFill="1" applyBorder="1" applyAlignment="1">
      <alignment horizontal="left" vertical="top" wrapText="1"/>
    </xf>
    <xf numFmtId="0" fontId="4" fillId="8" borderId="36" xfId="0" applyFont="1" applyFill="1" applyBorder="1" applyAlignment="1">
      <alignment horizontal="left" vertical="top" wrapText="1"/>
    </xf>
    <xf numFmtId="0" fontId="14" fillId="11" borderId="4" xfId="0" applyFont="1" applyFill="1" applyBorder="1" applyAlignment="1">
      <alignment horizontal="left" vertical="center" wrapText="1"/>
    </xf>
    <xf numFmtId="0" fontId="14" fillId="11" borderId="28" xfId="0" applyFont="1" applyFill="1" applyBorder="1" applyAlignment="1">
      <alignment horizontal="left" vertical="center" wrapText="1"/>
    </xf>
    <xf numFmtId="0" fontId="14" fillId="11" borderId="10" xfId="0" applyFont="1" applyFill="1" applyBorder="1" applyAlignment="1">
      <alignment horizontal="left" vertical="center" wrapText="1"/>
    </xf>
    <xf numFmtId="0" fontId="8" fillId="8" borderId="12" xfId="0" applyFont="1" applyFill="1" applyBorder="1" applyAlignment="1">
      <alignment horizontal="center" wrapText="1"/>
    </xf>
    <xf numFmtId="0" fontId="8" fillId="8" borderId="0" xfId="0" applyFont="1" applyFill="1" applyAlignment="1">
      <alignment horizontal="center" wrapText="1"/>
    </xf>
    <xf numFmtId="0" fontId="8" fillId="8" borderId="19" xfId="0" applyFont="1" applyFill="1" applyBorder="1" applyAlignment="1">
      <alignment horizontal="center" wrapText="1"/>
    </xf>
    <xf numFmtId="0" fontId="25" fillId="11" borderId="12" xfId="0" applyFont="1" applyFill="1" applyBorder="1" applyAlignment="1">
      <alignment horizontal="left" vertical="center"/>
    </xf>
    <xf numFmtId="0" fontId="25" fillId="11" borderId="13" xfId="0" applyFont="1" applyFill="1" applyBorder="1" applyAlignment="1">
      <alignment horizontal="left" vertical="center"/>
    </xf>
    <xf numFmtId="0" fontId="24" fillId="11" borderId="17" xfId="0" applyFont="1" applyFill="1" applyBorder="1" applyAlignment="1">
      <alignment horizontal="center"/>
    </xf>
    <xf numFmtId="0" fontId="24" fillId="11" borderId="18" xfId="0" applyFont="1" applyFill="1" applyBorder="1" applyAlignment="1">
      <alignment horizontal="center"/>
    </xf>
    <xf numFmtId="0" fontId="25" fillId="11" borderId="11" xfId="0" applyFont="1" applyFill="1" applyBorder="1" applyAlignment="1">
      <alignment horizontal="center" vertical="center"/>
    </xf>
    <xf numFmtId="0" fontId="25" fillId="11" borderId="12" xfId="0" applyFont="1" applyFill="1" applyBorder="1" applyAlignment="1">
      <alignment horizontal="center" vertical="center"/>
    </xf>
    <xf numFmtId="0" fontId="25" fillId="11" borderId="18" xfId="0" applyFont="1" applyFill="1" applyBorder="1" applyAlignment="1">
      <alignment horizontal="center" vertical="center"/>
    </xf>
    <xf numFmtId="0" fontId="25" fillId="11" borderId="19" xfId="0" applyFont="1" applyFill="1" applyBorder="1" applyAlignment="1">
      <alignment horizontal="center" vertical="center"/>
    </xf>
    <xf numFmtId="0" fontId="24" fillId="11" borderId="0" xfId="0" applyFont="1" applyFill="1" applyAlignment="1">
      <alignment horizontal="center" wrapText="1"/>
    </xf>
    <xf numFmtId="0" fontId="24" fillId="11" borderId="19" xfId="0" applyFont="1" applyFill="1" applyBorder="1" applyAlignment="1">
      <alignment horizontal="center" wrapText="1"/>
    </xf>
  </cellXfs>
  <cellStyles count="2">
    <cellStyle name="Hyperlink" xfId="1" builtinId="8"/>
    <cellStyle name="Normal" xfId="0" builtinId="0"/>
  </cellStyles>
  <dxfs count="1">
    <dxf>
      <font>
        <color rgb="FFFF0000"/>
      </font>
    </dxf>
  </dxfs>
  <tableStyles count="0" defaultTableStyle="TableStyleMedium9" defaultPivotStyle="PivotStyleLight16"/>
  <colors>
    <mruColors>
      <color rgb="FFFFFFA7"/>
      <color rgb="FF00FFFF"/>
      <color rgb="FF66FF33"/>
      <color rgb="FF47D94A"/>
      <color rgb="FFFF7A5B"/>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431800</xdr:colOff>
          <xdr:row>3</xdr:row>
          <xdr:rowOff>95250</xdr:rowOff>
        </xdr:from>
        <xdr:to>
          <xdr:col>10</xdr:col>
          <xdr:colOff>285750</xdr:colOff>
          <xdr:row>35</xdr:row>
          <xdr:rowOff>152400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450850</xdr:colOff>
          <xdr:row>35</xdr:row>
          <xdr:rowOff>127000</xdr:rowOff>
        </xdr:from>
        <xdr:to>
          <xdr:col>10</xdr:col>
          <xdr:colOff>304800</xdr:colOff>
          <xdr:row>66</xdr:row>
          <xdr:rowOff>152400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3.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package" Target="../embeddings/Microsoft_Word_Document1.docx"/><Relationship Id="rId5" Type="http://schemas.openxmlformats.org/officeDocument/2006/relationships/image" Target="../media/image2.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H135"/>
  <sheetViews>
    <sheetView tabSelected="1" topLeftCell="A4" zoomScale="90" zoomScaleNormal="90" workbookViewId="0">
      <selection activeCell="D14" sqref="D14"/>
    </sheetView>
  </sheetViews>
  <sheetFormatPr defaultRowHeight="12.5" x14ac:dyDescent="0.25"/>
  <cols>
    <col min="1" max="1" width="32.81640625" customWidth="1"/>
    <col min="2" max="2" width="17.54296875" customWidth="1"/>
    <col min="3" max="4" width="11.26953125" customWidth="1"/>
    <col min="5" max="5" width="23.7265625" customWidth="1"/>
    <col min="6" max="6" width="12.453125" customWidth="1"/>
    <col min="7" max="7" width="9.26953125" bestFit="1" customWidth="1"/>
    <col min="9" max="9" width="16.90625" customWidth="1"/>
    <col min="10" max="10" width="16.81640625" bestFit="1" customWidth="1"/>
    <col min="11" max="12" width="19.08984375" customWidth="1"/>
    <col min="13" max="13" width="13.08984375" customWidth="1"/>
    <col min="14" max="14" width="18.08984375" bestFit="1" customWidth="1"/>
    <col min="15" max="15" width="5.6328125" bestFit="1" customWidth="1"/>
    <col min="16" max="16" width="10.7265625" customWidth="1"/>
    <col min="17" max="17" width="12.08984375" style="13" customWidth="1"/>
    <col min="18" max="18" width="1.7265625" customWidth="1"/>
    <col min="19" max="19" width="6.7265625" customWidth="1"/>
    <col min="20" max="20" width="6.7265625" style="13" customWidth="1"/>
    <col min="21" max="21" width="1.7265625" customWidth="1"/>
    <col min="22" max="22" width="9.7265625" bestFit="1" customWidth="1"/>
    <col min="23" max="23" width="1.7265625" customWidth="1"/>
    <col min="24" max="24" width="9.26953125" bestFit="1" customWidth="1"/>
    <col min="25" max="25" width="1.7265625" customWidth="1"/>
    <col min="26" max="26" width="9.26953125" bestFit="1" customWidth="1"/>
    <col min="27" max="27" width="1.7265625" customWidth="1"/>
    <col min="28" max="28" width="9.7265625" bestFit="1" customWidth="1"/>
    <col min="29" max="29" width="1.7265625" customWidth="1"/>
    <col min="30" max="30" width="9.26953125" bestFit="1" customWidth="1"/>
    <col min="31" max="31" width="1.7265625" customWidth="1"/>
    <col min="32" max="32" width="9.26953125" bestFit="1" customWidth="1"/>
    <col min="33" max="33" width="1.7265625" customWidth="1"/>
    <col min="34" max="34" width="10.453125" bestFit="1" customWidth="1"/>
  </cols>
  <sheetData>
    <row r="1" spans="1:34" ht="13" x14ac:dyDescent="0.3">
      <c r="B1">
        <f>((0.075*4)*12.7)*7</f>
        <v>26.669999999999998</v>
      </c>
      <c r="C1" s="4">
        <f>B1+B11</f>
        <v>198.07</v>
      </c>
      <c r="S1" s="9" t="s">
        <v>35</v>
      </c>
      <c r="X1" s="9" t="s">
        <v>41</v>
      </c>
      <c r="Z1" s="9" t="s">
        <v>44</v>
      </c>
      <c r="AB1" s="9" t="s">
        <v>50</v>
      </c>
      <c r="AD1" s="9" t="s">
        <v>52</v>
      </c>
      <c r="AF1" s="9" t="s">
        <v>54</v>
      </c>
    </row>
    <row r="2" spans="1:34" ht="13" x14ac:dyDescent="0.3">
      <c r="J2" s="9" t="s">
        <v>36</v>
      </c>
      <c r="K2" s="9" t="s">
        <v>11</v>
      </c>
      <c r="X2" s="8" t="s">
        <v>39</v>
      </c>
      <c r="AB2" s="8" t="s">
        <v>44</v>
      </c>
      <c r="AC2" s="8"/>
      <c r="AD2" s="8" t="s">
        <v>47</v>
      </c>
      <c r="AF2" s="8" t="s">
        <v>52</v>
      </c>
    </row>
    <row r="3" spans="1:34" ht="13" x14ac:dyDescent="0.3">
      <c r="A3" s="2" t="s">
        <v>0</v>
      </c>
      <c r="B3" s="2"/>
      <c r="C3" s="2"/>
      <c r="D3" s="2"/>
      <c r="E3" s="2" t="s">
        <v>2</v>
      </c>
      <c r="I3" s="9" t="s">
        <v>10</v>
      </c>
      <c r="J3" s="9" t="s">
        <v>37</v>
      </c>
      <c r="K3" s="9" t="s">
        <v>38</v>
      </c>
      <c r="V3" s="8" t="s">
        <v>33</v>
      </c>
      <c r="X3" s="8" t="s">
        <v>40</v>
      </c>
      <c r="Z3" s="8" t="s">
        <v>42</v>
      </c>
      <c r="AB3" s="8" t="s">
        <v>45</v>
      </c>
      <c r="AC3" s="8"/>
      <c r="AD3" s="8" t="s">
        <v>48</v>
      </c>
      <c r="AF3" s="8" t="s">
        <v>45</v>
      </c>
    </row>
    <row r="4" spans="1:34" ht="13.5" thickBot="1" x14ac:dyDescent="0.35">
      <c r="A4" s="2"/>
      <c r="B4" s="2"/>
      <c r="C4" s="2"/>
      <c r="D4" s="2"/>
      <c r="E4" s="2"/>
      <c r="I4" s="9"/>
      <c r="J4" s="9" t="s">
        <v>55</v>
      </c>
      <c r="K4" s="9" t="s">
        <v>56</v>
      </c>
      <c r="V4" s="8"/>
      <c r="X4" s="8"/>
      <c r="Z4" s="8"/>
      <c r="AB4" s="8"/>
      <c r="AC4" s="8"/>
      <c r="AD4" s="8"/>
      <c r="AF4" s="8"/>
    </row>
    <row r="5" spans="1:34" ht="13" x14ac:dyDescent="0.3">
      <c r="B5" s="8" t="s">
        <v>57</v>
      </c>
      <c r="C5" s="8"/>
      <c r="F5" s="8" t="s">
        <v>57</v>
      </c>
      <c r="G5" s="8"/>
      <c r="I5" s="76">
        <v>0</v>
      </c>
      <c r="J5" s="78">
        <f>B7/1000</f>
        <v>6.2</v>
      </c>
      <c r="K5" s="77">
        <f>(B11*Q6*9.81)/2</f>
        <v>127.78898400000001</v>
      </c>
      <c r="S5" s="9"/>
      <c r="T5" s="13" t="s">
        <v>65</v>
      </c>
      <c r="V5" s="8" t="s">
        <v>34</v>
      </c>
      <c r="X5" s="8" t="s">
        <v>34</v>
      </c>
      <c r="Z5" s="8" t="s">
        <v>43</v>
      </c>
      <c r="AB5" s="8" t="s">
        <v>46</v>
      </c>
      <c r="AC5" s="8"/>
      <c r="AD5" s="8" t="s">
        <v>49</v>
      </c>
      <c r="AF5" s="8" t="s">
        <v>51</v>
      </c>
      <c r="AH5" s="8" t="s">
        <v>53</v>
      </c>
    </row>
    <row r="6" spans="1:34" x14ac:dyDescent="0.25">
      <c r="A6" s="49" t="s">
        <v>66</v>
      </c>
      <c r="B6" s="26">
        <v>2000</v>
      </c>
      <c r="C6" s="58">
        <f>B6/1000</f>
        <v>2</v>
      </c>
      <c r="D6" s="49"/>
      <c r="E6" s="49" t="s">
        <v>3</v>
      </c>
      <c r="F6" s="239">
        <v>127</v>
      </c>
      <c r="G6" s="58">
        <f>+F6/1000</f>
        <v>0.127</v>
      </c>
      <c r="I6" s="20">
        <v>0.5</v>
      </c>
      <c r="J6" s="22">
        <f>+X6</f>
        <v>5.9612389583271757</v>
      </c>
      <c r="K6" s="24">
        <f>+AH6</f>
        <v>163.43752965210405</v>
      </c>
      <c r="L6" s="5"/>
      <c r="M6" s="6" t="s">
        <v>13</v>
      </c>
      <c r="N6" s="17">
        <f>+C16</f>
        <v>2.5000000000000001E-2</v>
      </c>
      <c r="P6" s="6" t="s">
        <v>23</v>
      </c>
      <c r="Q6" s="17">
        <f>+$G$6+N6</f>
        <v>0.152</v>
      </c>
      <c r="S6" s="6" t="s">
        <v>23</v>
      </c>
      <c r="T6" s="17">
        <f>+Q6*PI()</f>
        <v>0.47752208334564855</v>
      </c>
      <c r="V6" s="14">
        <f>+T6/2</f>
        <v>0.23876104167282428</v>
      </c>
      <c r="W6" s="13"/>
      <c r="X6" s="14">
        <f>+$C$7-V6</f>
        <v>5.9612389583271757</v>
      </c>
      <c r="Y6" s="13"/>
      <c r="Z6" s="14">
        <f>+X6/$C$7</f>
        <v>0.9614901545688993</v>
      </c>
      <c r="AB6" s="10">
        <f>+(Z6*$B$10)+$B$9</f>
        <v>164.95345187483375</v>
      </c>
      <c r="AD6" s="14">
        <f>+Q7/2</f>
        <v>0.10100000000000001</v>
      </c>
      <c r="AE6" s="13"/>
      <c r="AF6" s="14">
        <f>+AD6*9.81</f>
        <v>0.99081000000000008</v>
      </c>
      <c r="AG6" s="13"/>
      <c r="AH6" s="14">
        <f>+AB6*AF6</f>
        <v>163.43752965210405</v>
      </c>
    </row>
    <row r="7" spans="1:34" x14ac:dyDescent="0.25">
      <c r="A7" s="49" t="s">
        <v>67</v>
      </c>
      <c r="B7" s="26">
        <v>6200</v>
      </c>
      <c r="C7" s="58">
        <f>B7/1000</f>
        <v>6.2</v>
      </c>
      <c r="D7" s="49"/>
      <c r="E7" s="49" t="s">
        <v>4</v>
      </c>
      <c r="F7" s="239">
        <v>3.2</v>
      </c>
      <c r="G7" s="240"/>
      <c r="I7" s="20">
        <v>1.5</v>
      </c>
      <c r="J7" s="22">
        <f t="shared" ref="J7:J15" si="0">+X7</f>
        <v>5.3266372423020378</v>
      </c>
      <c r="K7" s="24">
        <f t="shared" ref="K7:K15" si="1">+AH7</f>
        <v>182.71340720243614</v>
      </c>
      <c r="L7" s="5"/>
      <c r="M7" s="7" t="s">
        <v>14</v>
      </c>
      <c r="N7" s="18">
        <f>+C16*3</f>
        <v>7.5000000000000011E-2</v>
      </c>
      <c r="P7" s="7" t="s">
        <v>24</v>
      </c>
      <c r="Q7" s="18">
        <f t="shared" ref="Q7:Q23" si="2">+$G$6+N7</f>
        <v>0.20200000000000001</v>
      </c>
      <c r="S7" s="7" t="s">
        <v>24</v>
      </c>
      <c r="T7" s="18">
        <f t="shared" ref="T7:T23" si="3">+Q7*PI()</f>
        <v>0.63460171602513826</v>
      </c>
      <c r="V7" s="15">
        <f>+T7+$V$6</f>
        <v>0.87336275769796257</v>
      </c>
      <c r="W7" s="13"/>
      <c r="X7" s="15">
        <f>+$C$7-V7</f>
        <v>5.3266372423020378</v>
      </c>
      <c r="Y7" s="13"/>
      <c r="Z7" s="15">
        <f t="shared" ref="Z7:Z23" si="4">+X7/$C$7</f>
        <v>0.85913503908097377</v>
      </c>
      <c r="AB7" s="11">
        <f t="shared" ref="AB7:AB23" si="5">+(Z7*$B$10)+$B$9</f>
        <v>147.819205542155</v>
      </c>
      <c r="AD7" s="15">
        <f t="shared" ref="AD7:AD22" si="6">+Q8/2</f>
        <v>0.126</v>
      </c>
      <c r="AE7" s="13"/>
      <c r="AF7" s="15">
        <f t="shared" ref="AF7:AF22" si="7">+AD7*9.81</f>
        <v>1.2360600000000002</v>
      </c>
      <c r="AG7" s="13"/>
      <c r="AH7" s="15">
        <f t="shared" ref="AH7:AH22" si="8">+AB7*AF7</f>
        <v>182.71340720243614</v>
      </c>
    </row>
    <row r="8" spans="1:34" ht="14.5" x14ac:dyDescent="0.25">
      <c r="A8" s="49" t="s">
        <v>202</v>
      </c>
      <c r="B8" s="41">
        <v>13.5</v>
      </c>
      <c r="C8" s="58"/>
      <c r="D8" s="49"/>
      <c r="E8" s="49" t="s">
        <v>204</v>
      </c>
      <c r="F8" s="241">
        <v>7820</v>
      </c>
      <c r="G8" s="242" t="s">
        <v>69</v>
      </c>
      <c r="I8" s="20">
        <v>2.5</v>
      </c>
      <c r="J8" s="22">
        <f t="shared" si="0"/>
        <v>4.5349558935974095</v>
      </c>
      <c r="K8" s="24">
        <f t="shared" si="1"/>
        <v>187.30247889810909</v>
      </c>
      <c r="L8" s="5"/>
      <c r="M8" s="7" t="s">
        <v>15</v>
      </c>
      <c r="N8" s="18">
        <f>+C16*5</f>
        <v>0.125</v>
      </c>
      <c r="P8" s="7" t="s">
        <v>25</v>
      </c>
      <c r="Q8" s="18">
        <f t="shared" si="2"/>
        <v>0.252</v>
      </c>
      <c r="S8" s="7" t="s">
        <v>25</v>
      </c>
      <c r="T8" s="18">
        <f t="shared" si="3"/>
        <v>0.79168134870462792</v>
      </c>
      <c r="V8" s="15">
        <f>+T8+T7+V6</f>
        <v>1.6650441064025905</v>
      </c>
      <c r="W8" s="13"/>
      <c r="X8" s="15">
        <f t="shared" ref="X8:X23" si="9">+$C$7-V8</f>
        <v>4.5349558935974095</v>
      </c>
      <c r="Y8" s="13"/>
      <c r="Z8" s="15">
        <f t="shared" si="4"/>
        <v>0.73144449896732411</v>
      </c>
      <c r="AB8" s="11">
        <f t="shared" si="5"/>
        <v>126.44380912713007</v>
      </c>
      <c r="AD8" s="15">
        <f t="shared" si="6"/>
        <v>0.15100000000000002</v>
      </c>
      <c r="AE8" s="13"/>
      <c r="AF8" s="15">
        <f t="shared" si="7"/>
        <v>1.4813100000000003</v>
      </c>
      <c r="AG8" s="13"/>
      <c r="AH8" s="15">
        <f t="shared" si="8"/>
        <v>187.30247889810909</v>
      </c>
    </row>
    <row r="9" spans="1:34" x14ac:dyDescent="0.25">
      <c r="A9" s="49" t="s">
        <v>232</v>
      </c>
      <c r="B9" s="3">
        <v>4</v>
      </c>
      <c r="C9" s="58"/>
      <c r="D9" s="49"/>
      <c r="E9" s="49" t="s">
        <v>5</v>
      </c>
      <c r="F9" s="241">
        <v>199000</v>
      </c>
      <c r="G9" s="242" t="s">
        <v>68</v>
      </c>
      <c r="I9" s="20">
        <v>3.5</v>
      </c>
      <c r="J9" s="22">
        <f t="shared" si="0"/>
        <v>3.5861949122132923</v>
      </c>
      <c r="K9" s="24">
        <f t="shared" si="1"/>
        <v>174.08431856603653</v>
      </c>
      <c r="L9" s="5"/>
      <c r="M9" s="7" t="s">
        <v>16</v>
      </c>
      <c r="N9" s="18">
        <f>+C16*7</f>
        <v>0.17500000000000002</v>
      </c>
      <c r="P9" s="7" t="s">
        <v>26</v>
      </c>
      <c r="Q9" s="18">
        <f t="shared" si="2"/>
        <v>0.30200000000000005</v>
      </c>
      <c r="S9" s="7" t="s">
        <v>26</v>
      </c>
      <c r="T9" s="18">
        <f t="shared" si="3"/>
        <v>0.94876098138411769</v>
      </c>
      <c r="V9" s="15">
        <f>+T9+T8+T7+V6</f>
        <v>2.6138050877867078</v>
      </c>
      <c r="W9" s="13"/>
      <c r="X9" s="15">
        <f t="shared" si="9"/>
        <v>3.5861949122132923</v>
      </c>
      <c r="Y9" s="13"/>
      <c r="Z9" s="15">
        <f t="shared" si="4"/>
        <v>0.57841853422795031</v>
      </c>
      <c r="AB9" s="11">
        <f t="shared" si="5"/>
        <v>100.82726262975889</v>
      </c>
      <c r="AD9" s="15">
        <f t="shared" si="6"/>
        <v>0.17599999999999999</v>
      </c>
      <c r="AE9" s="13"/>
      <c r="AF9" s="15">
        <f t="shared" si="7"/>
        <v>1.7265600000000001</v>
      </c>
      <c r="AG9" s="13"/>
      <c r="AH9" s="15">
        <f t="shared" si="8"/>
        <v>174.08431856603653</v>
      </c>
    </row>
    <row r="10" spans="1:34" x14ac:dyDescent="0.25">
      <c r="A10" s="49" t="s">
        <v>231</v>
      </c>
      <c r="B10" s="225">
        <f>B6*B7*B8/1000000</f>
        <v>167.4</v>
      </c>
      <c r="C10" s="58"/>
      <c r="D10" s="49"/>
      <c r="E10" s="49"/>
      <c r="F10" s="240"/>
      <c r="G10" s="240"/>
      <c r="I10" s="20">
        <v>4.5</v>
      </c>
      <c r="J10" s="22">
        <f t="shared" si="0"/>
        <v>2.4803542981496851</v>
      </c>
      <c r="K10" s="24">
        <f t="shared" si="1"/>
        <v>139.93850003313233</v>
      </c>
      <c r="L10" s="5"/>
      <c r="M10" s="7" t="s">
        <v>17</v>
      </c>
      <c r="N10" s="18">
        <f>+C16*9</f>
        <v>0.22500000000000001</v>
      </c>
      <c r="P10" s="7" t="s">
        <v>27</v>
      </c>
      <c r="Q10" s="18">
        <f t="shared" si="2"/>
        <v>0.35199999999999998</v>
      </c>
      <c r="S10" s="7" t="s">
        <v>27</v>
      </c>
      <c r="T10" s="18">
        <f t="shared" si="3"/>
        <v>1.105840614063607</v>
      </c>
      <c r="V10" s="15">
        <f>+T10+T9+T8+T7+V6</f>
        <v>3.7196457018503151</v>
      </c>
      <c r="W10" s="13"/>
      <c r="X10" s="15">
        <f t="shared" si="9"/>
        <v>2.4803542981496851</v>
      </c>
      <c r="Y10" s="13"/>
      <c r="Z10" s="15">
        <f t="shared" si="4"/>
        <v>0.40005714486285243</v>
      </c>
      <c r="AB10" s="11">
        <f t="shared" si="5"/>
        <v>70.969566050041493</v>
      </c>
      <c r="AD10" s="15">
        <f t="shared" si="6"/>
        <v>0.20100000000000001</v>
      </c>
      <c r="AE10" s="13"/>
      <c r="AF10" s="15">
        <f t="shared" si="7"/>
        <v>1.9718100000000003</v>
      </c>
      <c r="AG10" s="13"/>
      <c r="AH10" s="15">
        <f t="shared" si="8"/>
        <v>139.93850003313233</v>
      </c>
    </row>
    <row r="11" spans="1:34" x14ac:dyDescent="0.25">
      <c r="A11" s="49" t="s">
        <v>230</v>
      </c>
      <c r="B11" s="225">
        <f>B10+B9</f>
        <v>171.4</v>
      </c>
      <c r="C11" s="58"/>
      <c r="D11" s="49"/>
      <c r="E11" s="49" t="s">
        <v>6</v>
      </c>
      <c r="F11" s="241">
        <f>F6-(F7*2)</f>
        <v>120.6</v>
      </c>
      <c r="G11" s="240">
        <f>+F11/1000</f>
        <v>0.1206</v>
      </c>
      <c r="I11" s="20">
        <v>5.5</v>
      </c>
      <c r="J11" s="22">
        <f t="shared" si="0"/>
        <v>1.2174340514065882</v>
      </c>
      <c r="K11" s="24">
        <f t="shared" si="1"/>
        <v>81.744597126310254</v>
      </c>
      <c r="L11" s="5"/>
      <c r="M11" s="7" t="s">
        <v>18</v>
      </c>
      <c r="N11" s="18">
        <f>+C16*11</f>
        <v>0.27500000000000002</v>
      </c>
      <c r="P11" s="7" t="s">
        <v>28</v>
      </c>
      <c r="Q11" s="18">
        <f t="shared" si="2"/>
        <v>0.40200000000000002</v>
      </c>
      <c r="S11" s="7" t="s">
        <v>28</v>
      </c>
      <c r="T11" s="18">
        <f t="shared" si="3"/>
        <v>1.2629202467430969</v>
      </c>
      <c r="V11" s="15">
        <f>+T11+T10+T9+T8+T7+V6</f>
        <v>4.982565948593412</v>
      </c>
      <c r="W11" s="13"/>
      <c r="X11" s="15">
        <f t="shared" si="9"/>
        <v>1.2174340514065882</v>
      </c>
      <c r="Y11" s="13"/>
      <c r="Z11" s="15">
        <f t="shared" si="4"/>
        <v>0.19636033087203036</v>
      </c>
      <c r="AB11" s="11">
        <f t="shared" si="5"/>
        <v>36.870719387977886</v>
      </c>
      <c r="AD11" s="15">
        <f t="shared" si="6"/>
        <v>0.22600000000000001</v>
      </c>
      <c r="AE11" s="13"/>
      <c r="AF11" s="15">
        <f t="shared" si="7"/>
        <v>2.21706</v>
      </c>
      <c r="AG11" s="13"/>
      <c r="AH11" s="15">
        <f t="shared" si="8"/>
        <v>81.744597126310254</v>
      </c>
    </row>
    <row r="12" spans="1:34" x14ac:dyDescent="0.25">
      <c r="A12" s="49" t="s">
        <v>203</v>
      </c>
      <c r="B12" s="225">
        <f>(G6^2-G11^2)*(0.7855)*C6*F8</f>
        <v>19.467651020800023</v>
      </c>
      <c r="C12" s="58"/>
      <c r="D12" s="49"/>
      <c r="E12" s="49"/>
      <c r="F12" s="240"/>
      <c r="G12" s="240"/>
      <c r="I12" s="20">
        <v>6.5</v>
      </c>
      <c r="J12" s="22">
        <f t="shared" si="0"/>
        <v>-0.20256582801599876</v>
      </c>
      <c r="K12" s="24">
        <f t="shared" si="1"/>
        <v>-3.6178163275159956</v>
      </c>
      <c r="L12" s="5"/>
      <c r="M12" s="7" t="s">
        <v>19</v>
      </c>
      <c r="N12" s="18">
        <f>+C16*13</f>
        <v>0.32500000000000001</v>
      </c>
      <c r="P12" s="7" t="s">
        <v>29</v>
      </c>
      <c r="Q12" s="18">
        <f t="shared" si="2"/>
        <v>0.45200000000000001</v>
      </c>
      <c r="S12" s="7" t="s">
        <v>29</v>
      </c>
      <c r="T12" s="18">
        <f t="shared" si="3"/>
        <v>1.4199998794225865</v>
      </c>
      <c r="V12" s="15">
        <f>+T12+T11+T10+T9+T8+T7+V6</f>
        <v>6.4025658280159989</v>
      </c>
      <c r="W12" s="13"/>
      <c r="X12" s="15">
        <f t="shared" si="9"/>
        <v>-0.20256582801599876</v>
      </c>
      <c r="Y12" s="13"/>
      <c r="Z12" s="15">
        <f t="shared" si="4"/>
        <v>-3.2671907744515928E-2</v>
      </c>
      <c r="AB12" s="11">
        <f t="shared" si="5"/>
        <v>-1.4692773564319666</v>
      </c>
      <c r="AD12" s="15">
        <f t="shared" si="6"/>
        <v>0.251</v>
      </c>
      <c r="AE12" s="13"/>
      <c r="AF12" s="15">
        <f t="shared" si="7"/>
        <v>2.46231</v>
      </c>
      <c r="AG12" s="13"/>
      <c r="AH12" s="15">
        <f t="shared" si="8"/>
        <v>-3.6178163275159956</v>
      </c>
    </row>
    <row r="13" spans="1:34" x14ac:dyDescent="0.25">
      <c r="B13" s="1"/>
      <c r="C13" s="58"/>
      <c r="D13" s="49"/>
      <c r="E13" s="49" t="s">
        <v>7</v>
      </c>
      <c r="F13" s="241">
        <f>((F6^4)-(F11^4))*0.0491</f>
        <v>2386566.0496486416</v>
      </c>
      <c r="G13" s="240"/>
      <c r="I13" s="20">
        <v>7.5</v>
      </c>
      <c r="J13" s="22">
        <f t="shared" si="0"/>
        <v>-1.7796453401180745</v>
      </c>
      <c r="K13" s="24">
        <f t="shared" si="1"/>
        <v>-119.26916650143255</v>
      </c>
      <c r="L13" s="5"/>
      <c r="M13" s="7" t="s">
        <v>20</v>
      </c>
      <c r="N13" s="18">
        <f>+C16*15</f>
        <v>0.375</v>
      </c>
      <c r="P13" s="7" t="s">
        <v>30</v>
      </c>
      <c r="Q13" s="18">
        <f t="shared" si="2"/>
        <v>0.502</v>
      </c>
      <c r="S13" s="7" t="s">
        <v>30</v>
      </c>
      <c r="T13" s="18">
        <f t="shared" si="3"/>
        <v>1.5770795121020762</v>
      </c>
      <c r="V13" s="15">
        <f>+T13+T12+T11+T10+T9+T8+T7+V6</f>
        <v>7.9796453401180747</v>
      </c>
      <c r="W13" s="13"/>
      <c r="X13" s="15">
        <f t="shared" si="9"/>
        <v>-1.7796453401180745</v>
      </c>
      <c r="Y13" s="13"/>
      <c r="Z13" s="15">
        <f t="shared" si="4"/>
        <v>-0.28703957098678623</v>
      </c>
      <c r="AB13" s="11">
        <f t="shared" si="5"/>
        <v>-44.050424183188014</v>
      </c>
      <c r="AD13" s="15">
        <f t="shared" si="6"/>
        <v>0.27600000000000002</v>
      </c>
      <c r="AE13" s="13"/>
      <c r="AF13" s="15">
        <f t="shared" si="7"/>
        <v>2.7075600000000004</v>
      </c>
      <c r="AG13" s="13"/>
      <c r="AH13" s="15">
        <f t="shared" si="8"/>
        <v>-119.26916650143255</v>
      </c>
    </row>
    <row r="14" spans="1:34" x14ac:dyDescent="0.25">
      <c r="A14" t="s">
        <v>1</v>
      </c>
      <c r="B14" s="224">
        <f>(B12+B11)*9.81</f>
        <v>1872.4116565140484</v>
      </c>
      <c r="C14" s="58"/>
      <c r="D14" s="49"/>
      <c r="E14" s="49"/>
      <c r="F14" s="240"/>
      <c r="G14" s="240"/>
      <c r="I14" s="20">
        <v>8.5</v>
      </c>
      <c r="J14" s="22">
        <f t="shared" si="0"/>
        <v>-3.5138044848996399</v>
      </c>
      <c r="K14" s="24">
        <f t="shared" si="1"/>
        <v>-268.32987956852571</v>
      </c>
      <c r="L14" s="5"/>
      <c r="M14" s="7" t="s">
        <v>21</v>
      </c>
      <c r="N14" s="18">
        <f>+C16*17</f>
        <v>0.42500000000000004</v>
      </c>
      <c r="P14" s="7" t="s">
        <v>31</v>
      </c>
      <c r="Q14" s="18">
        <f t="shared" si="2"/>
        <v>0.55200000000000005</v>
      </c>
      <c r="S14" s="7" t="s">
        <v>31</v>
      </c>
      <c r="T14" s="18">
        <f t="shared" si="3"/>
        <v>1.7341591447815659</v>
      </c>
      <c r="V14" s="15">
        <f>+T14+T13+T12+T11+T10+T9+T8+T7+V6</f>
        <v>9.7138044848996401</v>
      </c>
      <c r="W14" s="13"/>
      <c r="X14" s="15">
        <f t="shared" si="9"/>
        <v>-3.5138044848996399</v>
      </c>
      <c r="Y14" s="13"/>
      <c r="Z14" s="15">
        <f t="shared" si="4"/>
        <v>-0.56674265885478059</v>
      </c>
      <c r="AB14" s="11">
        <f t="shared" si="5"/>
        <v>-90.872721092290277</v>
      </c>
      <c r="AD14" s="15">
        <f t="shared" si="6"/>
        <v>0.30100000000000005</v>
      </c>
      <c r="AE14" s="13"/>
      <c r="AF14" s="15">
        <f t="shared" si="7"/>
        <v>2.9528100000000004</v>
      </c>
      <c r="AG14" s="13"/>
      <c r="AH14" s="15">
        <f t="shared" si="8"/>
        <v>-268.32987956852571</v>
      </c>
    </row>
    <row r="15" spans="1:34" x14ac:dyDescent="0.25">
      <c r="C15" s="58"/>
      <c r="D15" s="49"/>
      <c r="E15" s="49" t="s">
        <v>8</v>
      </c>
      <c r="F15" s="243">
        <f>+B14*(B6^3)*5/(384*F13*F9)</f>
        <v>0.41068001427211764</v>
      </c>
      <c r="G15" s="240"/>
      <c r="I15" s="20">
        <v>9.5</v>
      </c>
      <c r="J15" s="22">
        <f t="shared" si="0"/>
        <v>-5.405043262360695</v>
      </c>
      <c r="K15" s="24">
        <f t="shared" si="1"/>
        <v>-453.92038170188169</v>
      </c>
      <c r="L15" s="5"/>
      <c r="M15" s="7" t="s">
        <v>22</v>
      </c>
      <c r="N15" s="18">
        <f>+C16*19</f>
        <v>0.47500000000000003</v>
      </c>
      <c r="P15" s="7" t="s">
        <v>32</v>
      </c>
      <c r="Q15" s="18">
        <f t="shared" si="2"/>
        <v>0.60200000000000009</v>
      </c>
      <c r="S15" s="7" t="s">
        <v>32</v>
      </c>
      <c r="T15" s="18">
        <f t="shared" si="3"/>
        <v>1.8912387774610557</v>
      </c>
      <c r="V15" s="15">
        <f>+T15+T14+T13+T12+T11+T10+T9+T8+T7+V6</f>
        <v>11.605043262360695</v>
      </c>
      <c r="W15" s="13"/>
      <c r="X15" s="15">
        <f t="shared" si="9"/>
        <v>-5.405043262360695</v>
      </c>
      <c r="Y15" s="13"/>
      <c r="Z15" s="15">
        <f t="shared" si="4"/>
        <v>-0.8717811713484992</v>
      </c>
      <c r="AB15" s="11">
        <f t="shared" si="5"/>
        <v>-141.93616808373878</v>
      </c>
      <c r="AD15" s="15">
        <f t="shared" si="6"/>
        <v>0.32600000000000001</v>
      </c>
      <c r="AE15" s="13"/>
      <c r="AF15" s="15">
        <f t="shared" si="7"/>
        <v>3.1980600000000003</v>
      </c>
      <c r="AG15" s="13"/>
      <c r="AH15" s="15">
        <f t="shared" si="8"/>
        <v>-453.92038170188169</v>
      </c>
    </row>
    <row r="16" spans="1:34" x14ac:dyDescent="0.25">
      <c r="A16" s="49" t="s">
        <v>12</v>
      </c>
      <c r="B16" s="27">
        <v>25</v>
      </c>
      <c r="C16" s="58">
        <f>+B16/1000</f>
        <v>2.5000000000000001E-2</v>
      </c>
      <c r="D16" s="49"/>
      <c r="E16" s="49"/>
      <c r="F16" s="240"/>
      <c r="G16" s="240"/>
      <c r="I16" s="20">
        <v>10.5</v>
      </c>
      <c r="J16" s="22">
        <f t="shared" ref="J16:J22" si="10">+X16</f>
        <v>-7.4533616725012406</v>
      </c>
      <c r="K16" s="24">
        <f t="shared" ref="K16:K22" si="11">+AH16</f>
        <v>-679.16109907458679</v>
      </c>
      <c r="L16" s="4"/>
      <c r="M16" s="50" t="s">
        <v>98</v>
      </c>
      <c r="N16" s="18">
        <f>+C16*21</f>
        <v>0.52500000000000002</v>
      </c>
      <c r="P16" s="7" t="s">
        <v>106</v>
      </c>
      <c r="Q16" s="18">
        <f t="shared" si="2"/>
        <v>0.65200000000000002</v>
      </c>
      <c r="S16" s="7" t="s">
        <v>106</v>
      </c>
      <c r="T16" s="18">
        <f t="shared" si="3"/>
        <v>2.0483184101405452</v>
      </c>
      <c r="V16" s="15">
        <f>+T16+T15+T14+T13+T12+T11+T10+T9+T8+T7+V6</f>
        <v>13.653361672501241</v>
      </c>
      <c r="X16" s="15">
        <f t="shared" si="9"/>
        <v>-7.4533616725012406</v>
      </c>
      <c r="Z16" s="15">
        <f t="shared" si="4"/>
        <v>-1.202155108467942</v>
      </c>
      <c r="AB16" s="11">
        <f t="shared" si="5"/>
        <v>-197.2407651575335</v>
      </c>
      <c r="AD16" s="15">
        <f t="shared" si="6"/>
        <v>0.35100000000000003</v>
      </c>
      <c r="AF16" s="15">
        <f t="shared" si="7"/>
        <v>3.4433100000000003</v>
      </c>
      <c r="AH16" s="15">
        <f t="shared" si="8"/>
        <v>-679.16109907458679</v>
      </c>
    </row>
    <row r="17" spans="1:34" x14ac:dyDescent="0.25">
      <c r="C17" s="49"/>
      <c r="D17" s="49"/>
      <c r="E17" s="49" t="s">
        <v>58</v>
      </c>
      <c r="F17" s="244">
        <f>MAX(K5:K22)</f>
        <v>187.30247889810909</v>
      </c>
      <c r="G17" s="49"/>
      <c r="I17" s="20">
        <v>11.5</v>
      </c>
      <c r="J17" s="22">
        <f t="shared" si="10"/>
        <v>-9.6587597153212741</v>
      </c>
      <c r="K17" s="24">
        <f t="shared" si="11"/>
        <v>-947.17245785972693</v>
      </c>
      <c r="M17" s="50" t="s">
        <v>99</v>
      </c>
      <c r="N17" s="18">
        <f>+C16*23</f>
        <v>0.57500000000000007</v>
      </c>
      <c r="P17" s="7" t="s">
        <v>107</v>
      </c>
      <c r="Q17" s="18">
        <f t="shared" si="2"/>
        <v>0.70200000000000007</v>
      </c>
      <c r="S17" s="7" t="s">
        <v>107</v>
      </c>
      <c r="T17" s="18">
        <f t="shared" si="3"/>
        <v>2.2053980428200348</v>
      </c>
      <c r="V17" s="15">
        <f>+T17+T16+T15+T14+T13+T12+T11+T10+T9+T8+T7+V6</f>
        <v>15.858759715321275</v>
      </c>
      <c r="X17" s="15">
        <f t="shared" si="9"/>
        <v>-9.6587597153212741</v>
      </c>
      <c r="Z17" s="15">
        <f t="shared" si="4"/>
        <v>-1.5578644702131086</v>
      </c>
      <c r="AB17" s="11">
        <f t="shared" si="5"/>
        <v>-256.78651231367439</v>
      </c>
      <c r="AD17" s="15">
        <f t="shared" si="6"/>
        <v>0.376</v>
      </c>
      <c r="AF17" s="15">
        <f t="shared" si="7"/>
        <v>3.6885600000000003</v>
      </c>
      <c r="AH17" s="15">
        <f t="shared" si="8"/>
        <v>-947.17245785972693</v>
      </c>
    </row>
    <row r="18" spans="1:34" x14ac:dyDescent="0.25">
      <c r="A18" s="49" t="s">
        <v>96</v>
      </c>
      <c r="C18" s="49"/>
      <c r="D18" s="49"/>
      <c r="E18" s="49" t="s">
        <v>60</v>
      </c>
      <c r="F18" s="245">
        <v>10</v>
      </c>
      <c r="G18" s="49">
        <f>+(F18/100)+1</f>
        <v>1.1000000000000001</v>
      </c>
      <c r="I18" s="20">
        <v>12.5</v>
      </c>
      <c r="J18" s="22">
        <f t="shared" si="10"/>
        <v>-12.021237390820801</v>
      </c>
      <c r="K18" s="24">
        <f t="shared" si="11"/>
        <v>-1261.074884230389</v>
      </c>
      <c r="M18" s="50" t="s">
        <v>100</v>
      </c>
      <c r="N18" s="18">
        <f>+C16*25</f>
        <v>0.625</v>
      </c>
      <c r="P18" s="7" t="s">
        <v>108</v>
      </c>
      <c r="Q18" s="18">
        <f t="shared" si="2"/>
        <v>0.752</v>
      </c>
      <c r="S18" s="7" t="s">
        <v>108</v>
      </c>
      <c r="T18" s="18">
        <f t="shared" si="3"/>
        <v>2.3624776754995245</v>
      </c>
      <c r="V18" s="15">
        <f>+T18+T17+T16+T15+T14+T13+T12+T11+T10+T9+T8+T7+V6</f>
        <v>18.2212373908208</v>
      </c>
      <c r="X18" s="15">
        <f t="shared" si="9"/>
        <v>-12.021237390820801</v>
      </c>
      <c r="Z18" s="15">
        <f t="shared" si="4"/>
        <v>-1.938909256584</v>
      </c>
      <c r="AB18" s="11">
        <f t="shared" si="5"/>
        <v>-320.57340955216159</v>
      </c>
      <c r="AD18" s="15">
        <f t="shared" si="6"/>
        <v>0.40100000000000002</v>
      </c>
      <c r="AF18" s="15">
        <f t="shared" si="7"/>
        <v>3.9338100000000003</v>
      </c>
      <c r="AH18" s="15">
        <f t="shared" si="8"/>
        <v>-1261.074884230389</v>
      </c>
    </row>
    <row r="19" spans="1:34" x14ac:dyDescent="0.25">
      <c r="A19" s="49" t="s">
        <v>129</v>
      </c>
      <c r="B19" s="64"/>
      <c r="C19" s="49"/>
      <c r="D19" s="49"/>
      <c r="E19" s="49"/>
      <c r="F19" s="246"/>
      <c r="G19" s="49"/>
      <c r="I19" s="20">
        <v>13.5</v>
      </c>
      <c r="J19" s="22">
        <f t="shared" si="10"/>
        <v>-14.540794698999814</v>
      </c>
      <c r="K19" s="24">
        <f t="shared" si="11"/>
        <v>-1623.9888043596588</v>
      </c>
      <c r="M19" s="50" t="s">
        <v>101</v>
      </c>
      <c r="N19" s="18">
        <f>+C16*27</f>
        <v>0.67500000000000004</v>
      </c>
      <c r="P19" s="7" t="s">
        <v>109</v>
      </c>
      <c r="Q19" s="18">
        <f t="shared" si="2"/>
        <v>0.80200000000000005</v>
      </c>
      <c r="S19" s="7" t="s">
        <v>109</v>
      </c>
      <c r="T19" s="18">
        <f t="shared" si="3"/>
        <v>2.5195573081790141</v>
      </c>
      <c r="V19" s="15">
        <f>+T19+T18+T17+T16+T15+T14+T13+T12+T11+T10+T9+T8+T7+V6</f>
        <v>20.740794698999814</v>
      </c>
      <c r="X19" s="15">
        <f t="shared" si="9"/>
        <v>-14.540794698999814</v>
      </c>
      <c r="Z19" s="15">
        <f t="shared" si="4"/>
        <v>-2.3452894675806153</v>
      </c>
      <c r="AB19" s="11">
        <f t="shared" si="5"/>
        <v>-388.60145687299502</v>
      </c>
      <c r="AD19" s="15">
        <f t="shared" si="6"/>
        <v>0.42600000000000005</v>
      </c>
      <c r="AF19" s="15">
        <f t="shared" si="7"/>
        <v>4.1790600000000007</v>
      </c>
      <c r="AH19" s="15">
        <f t="shared" si="8"/>
        <v>-1623.9888043596588</v>
      </c>
    </row>
    <row r="20" spans="1:34" x14ac:dyDescent="0.25">
      <c r="A20" s="49" t="s">
        <v>130</v>
      </c>
      <c r="B20" s="64"/>
      <c r="C20" s="49"/>
      <c r="D20" s="49"/>
      <c r="E20" s="49"/>
      <c r="F20" s="246"/>
      <c r="G20" s="49"/>
      <c r="I20" s="20">
        <v>14.5</v>
      </c>
      <c r="J20" s="22">
        <f t="shared" si="10"/>
        <v>-17.217431639858319</v>
      </c>
      <c r="K20" s="24">
        <f t="shared" si="11"/>
        <v>-2039.034644420622</v>
      </c>
      <c r="M20" s="50" t="s">
        <v>102</v>
      </c>
      <c r="N20" s="18">
        <f>+C16*29</f>
        <v>0.72500000000000009</v>
      </c>
      <c r="P20" s="7" t="s">
        <v>110</v>
      </c>
      <c r="Q20" s="18">
        <f t="shared" si="2"/>
        <v>0.85200000000000009</v>
      </c>
      <c r="S20" s="7" t="s">
        <v>110</v>
      </c>
      <c r="T20" s="18">
        <f t="shared" si="3"/>
        <v>2.6766369408585042</v>
      </c>
      <c r="V20" s="15">
        <f>+T20+T19+T18+T17+T16+T15+T14+T13+T12+T11+T10+T9+T8+T7+V6</f>
        <v>23.417431639858318</v>
      </c>
      <c r="X20" s="15">
        <f t="shared" si="9"/>
        <v>-17.217431639858319</v>
      </c>
      <c r="Z20" s="15">
        <f t="shared" si="4"/>
        <v>-2.7770051032029546</v>
      </c>
      <c r="AB20" s="11">
        <f t="shared" si="5"/>
        <v>-460.87065427617461</v>
      </c>
      <c r="AD20" s="15">
        <f t="shared" si="6"/>
        <v>0.45100000000000001</v>
      </c>
      <c r="AF20" s="15">
        <f t="shared" si="7"/>
        <v>4.4243100000000002</v>
      </c>
      <c r="AH20" s="15">
        <f t="shared" si="8"/>
        <v>-2039.034644420622</v>
      </c>
    </row>
    <row r="21" spans="1:34" ht="13" x14ac:dyDescent="0.3">
      <c r="A21" s="49" t="s">
        <v>131</v>
      </c>
      <c r="B21" s="64"/>
      <c r="C21" s="2" t="s">
        <v>132</v>
      </c>
      <c r="D21" s="49"/>
      <c r="E21" s="49"/>
      <c r="F21" s="246"/>
      <c r="G21" s="49"/>
      <c r="I21" s="20">
        <v>15.5</v>
      </c>
      <c r="J21" s="22">
        <f t="shared" si="10"/>
        <v>-20.051148213396313</v>
      </c>
      <c r="K21" s="24">
        <f t="shared" si="11"/>
        <v>-2509.3328305863665</v>
      </c>
      <c r="M21" s="50" t="s">
        <v>103</v>
      </c>
      <c r="N21" s="18">
        <f>+C16*31</f>
        <v>0.77500000000000002</v>
      </c>
      <c r="P21" s="7" t="s">
        <v>111</v>
      </c>
      <c r="Q21" s="18">
        <f t="shared" si="2"/>
        <v>0.90200000000000002</v>
      </c>
      <c r="S21" s="7" t="s">
        <v>111</v>
      </c>
      <c r="T21" s="18">
        <f t="shared" si="3"/>
        <v>2.8337165735379934</v>
      </c>
      <c r="V21" s="15">
        <f>+T21+T20+T19+T18+T17+T16+T15+T14+T13+T12+T11+T10+T9+T8+T7+V6</f>
        <v>26.251148213396313</v>
      </c>
      <c r="X21" s="15">
        <f t="shared" si="9"/>
        <v>-20.051148213396313</v>
      </c>
      <c r="Z21" s="15">
        <f t="shared" si="4"/>
        <v>-3.2340561634510183</v>
      </c>
      <c r="AB21" s="11">
        <f t="shared" si="5"/>
        <v>-537.38100176170053</v>
      </c>
      <c r="AD21" s="15">
        <f>+Q22/2</f>
        <v>0.47600000000000003</v>
      </c>
      <c r="AF21" s="15">
        <f t="shared" si="7"/>
        <v>4.6695600000000006</v>
      </c>
      <c r="AH21" s="15">
        <f t="shared" si="8"/>
        <v>-2509.3328305863665</v>
      </c>
    </row>
    <row r="22" spans="1:34" x14ac:dyDescent="0.25">
      <c r="C22" s="49"/>
      <c r="D22" s="49"/>
      <c r="E22" s="49"/>
      <c r="F22" s="246"/>
      <c r="G22" s="49"/>
      <c r="I22" s="20">
        <v>16.5</v>
      </c>
      <c r="J22" s="22">
        <f t="shared" si="10"/>
        <v>-23.041944419613795</v>
      </c>
      <c r="K22" s="24">
        <f t="shared" si="11"/>
        <v>-3038.0037890299764</v>
      </c>
      <c r="M22" s="50" t="s">
        <v>104</v>
      </c>
      <c r="N22" s="18">
        <f>+C16*33</f>
        <v>0.82500000000000007</v>
      </c>
      <c r="P22" s="7" t="s">
        <v>112</v>
      </c>
      <c r="Q22" s="18">
        <f t="shared" si="2"/>
        <v>0.95200000000000007</v>
      </c>
      <c r="S22" s="7" t="s">
        <v>112</v>
      </c>
      <c r="T22" s="18">
        <f t="shared" si="3"/>
        <v>2.9907962062174831</v>
      </c>
      <c r="V22" s="15">
        <f>+T22+T21+T20+T19+T18+T17+T16+T15+T14+T13+T12+T11+T10+T9+T8+T7+V6</f>
        <v>29.241944419613795</v>
      </c>
      <c r="X22" s="15">
        <f t="shared" si="9"/>
        <v>-23.041944419613795</v>
      </c>
      <c r="Z22" s="15">
        <f t="shared" si="4"/>
        <v>-3.7164426483248056</v>
      </c>
      <c r="AB22" s="11">
        <f t="shared" si="5"/>
        <v>-618.13249932957251</v>
      </c>
      <c r="AD22" s="15">
        <f t="shared" si="6"/>
        <v>0.501</v>
      </c>
      <c r="AF22" s="16">
        <f t="shared" si="7"/>
        <v>4.9148100000000001</v>
      </c>
      <c r="AH22" s="16">
        <f t="shared" si="8"/>
        <v>-3038.0037890299764</v>
      </c>
    </row>
    <row r="23" spans="1:34" ht="13" thickBot="1" x14ac:dyDescent="0.3">
      <c r="A23" s="49"/>
      <c r="C23" s="49"/>
      <c r="D23" s="49"/>
      <c r="E23" s="49"/>
      <c r="F23" s="246"/>
      <c r="G23" s="49"/>
      <c r="I23" s="21"/>
      <c r="J23" s="23"/>
      <c r="K23" s="25"/>
      <c r="M23" s="51" t="s">
        <v>105</v>
      </c>
      <c r="N23" s="19">
        <f>+C16*35</f>
        <v>0.875</v>
      </c>
      <c r="P23" s="52" t="s">
        <v>113</v>
      </c>
      <c r="Q23" s="19">
        <f t="shared" si="2"/>
        <v>1.002</v>
      </c>
      <c r="S23" s="52" t="s">
        <v>113</v>
      </c>
      <c r="T23" s="19">
        <f t="shared" si="3"/>
        <v>3.1478758388969728</v>
      </c>
      <c r="V23" s="16">
        <f>+T23+T22+T21+T20+T19+T18+T17+T16+T15+T14+T13+T12+T11+T10+T9+T8+T7+V6</f>
        <v>32.389820258510767</v>
      </c>
      <c r="X23" s="16">
        <f t="shared" si="9"/>
        <v>-26.189820258510768</v>
      </c>
      <c r="Z23" s="16">
        <f t="shared" si="4"/>
        <v>-4.2241645578243174</v>
      </c>
      <c r="AB23" s="12">
        <f t="shared" si="5"/>
        <v>-703.12514697979077</v>
      </c>
      <c r="AD23" s="54"/>
    </row>
    <row r="24" spans="1:34" ht="13" x14ac:dyDescent="0.3">
      <c r="A24" s="2" t="s">
        <v>114</v>
      </c>
      <c r="C24" s="49"/>
      <c r="D24" s="49"/>
      <c r="E24" s="49" t="s">
        <v>119</v>
      </c>
      <c r="F24" s="67">
        <f>F38*B26/B27</f>
        <v>54.219138628400003</v>
      </c>
      <c r="G24" s="49"/>
    </row>
    <row r="25" spans="1:34" ht="13" x14ac:dyDescent="0.3">
      <c r="A25" s="49" t="s">
        <v>115</v>
      </c>
      <c r="B25" s="66" t="s">
        <v>159</v>
      </c>
      <c r="C25" s="49"/>
      <c r="D25" s="49"/>
      <c r="E25" s="49" t="s">
        <v>120</v>
      </c>
      <c r="F25" s="67">
        <f>(B11*9.81*F6)/J33</f>
        <v>741.3867651784002</v>
      </c>
      <c r="G25" s="49"/>
      <c r="I25" s="228" t="s">
        <v>115</v>
      </c>
      <c r="J25" s="228" t="s">
        <v>252</v>
      </c>
      <c r="K25" s="228" t="s">
        <v>123</v>
      </c>
      <c r="L25" s="229" t="s">
        <v>122</v>
      </c>
      <c r="M25" s="228" t="s">
        <v>254</v>
      </c>
      <c r="N25" s="230" t="s">
        <v>253</v>
      </c>
    </row>
    <row r="26" spans="1:34" ht="13" x14ac:dyDescent="0.3">
      <c r="A26" s="49" t="s">
        <v>118</v>
      </c>
      <c r="B26" s="65">
        <v>15</v>
      </c>
      <c r="C26" s="49"/>
      <c r="D26" s="49"/>
      <c r="E26" s="49" t="s">
        <v>121</v>
      </c>
      <c r="F26" s="226">
        <f>IF(B25=I26,J26,IF(B25=I27,J27,IF(B25=I28,J28,IF(B25=I29,J29,IF(B25=I30,J30,IF(B25=I31,J31))))))/F25</f>
        <v>30.213649679340957</v>
      </c>
      <c r="G26" s="49"/>
      <c r="I26" s="227" t="s">
        <v>158</v>
      </c>
      <c r="J26" s="43">
        <v>18000</v>
      </c>
      <c r="K26" s="43">
        <f>0.5*25.4</f>
        <v>12.7</v>
      </c>
      <c r="L26" s="47">
        <f>K26*($B$27/PI())</f>
        <v>230.42452660844609</v>
      </c>
      <c r="M26" s="43">
        <f>($B$11*9.81*$F$6)/L26</f>
        <v>926.73345647300005</v>
      </c>
      <c r="N26" s="225">
        <f>J26/M26</f>
        <v>19.423060508147763</v>
      </c>
    </row>
    <row r="27" spans="1:34" ht="13" x14ac:dyDescent="0.3">
      <c r="A27" s="49" t="s">
        <v>117</v>
      </c>
      <c r="B27" s="65">
        <v>57</v>
      </c>
      <c r="C27" s="49"/>
      <c r="D27" s="49"/>
      <c r="E27" s="49" t="s">
        <v>127</v>
      </c>
      <c r="F27" s="68">
        <f>(F42*B27/B26)*60/B28</f>
        <v>33.25</v>
      </c>
      <c r="G27" s="49"/>
      <c r="I27" s="227" t="s">
        <v>159</v>
      </c>
      <c r="J27" s="43">
        <v>22400</v>
      </c>
      <c r="K27" s="47">
        <f>0.625*25.4</f>
        <v>15.875</v>
      </c>
      <c r="L27" s="47">
        <f t="shared" ref="L27:L31" si="12">K27*($B$27/PI())</f>
        <v>288.03065826055763</v>
      </c>
      <c r="M27" s="43">
        <f t="shared" ref="M27:M31" si="13">($B$11*9.81*$F$6)/L27</f>
        <v>741.38676517839997</v>
      </c>
      <c r="N27" s="225">
        <f t="shared" ref="N27:N31" si="14">J27/M27</f>
        <v>30.213649679340964</v>
      </c>
    </row>
    <row r="28" spans="1:34" ht="13" x14ac:dyDescent="0.3">
      <c r="A28" s="49" t="s">
        <v>126</v>
      </c>
      <c r="B28" s="65">
        <v>48</v>
      </c>
      <c r="C28" s="49"/>
      <c r="D28" s="49"/>
      <c r="E28" s="49" t="s">
        <v>128</v>
      </c>
      <c r="F28" s="68">
        <f>B7/F27</f>
        <v>186.46616541353384</v>
      </c>
      <c r="G28" s="49"/>
      <c r="I28" s="227" t="s">
        <v>160</v>
      </c>
      <c r="J28" s="43">
        <v>29000</v>
      </c>
      <c r="K28" s="47">
        <f>0.75*25.4</f>
        <v>19.049999999999997</v>
      </c>
      <c r="L28" s="47">
        <f t="shared" si="12"/>
        <v>345.63678991266909</v>
      </c>
      <c r="M28" s="43">
        <f t="shared" si="13"/>
        <v>617.82230431533344</v>
      </c>
      <c r="N28" s="225">
        <f t="shared" si="14"/>
        <v>46.939062894690416</v>
      </c>
    </row>
    <row r="29" spans="1:34" ht="13" x14ac:dyDescent="0.3">
      <c r="C29" s="49"/>
      <c r="E29" s="49"/>
      <c r="F29" s="55"/>
      <c r="I29" s="227" t="s">
        <v>116</v>
      </c>
      <c r="J29" s="43">
        <v>60000</v>
      </c>
      <c r="K29" s="43">
        <v>25.4</v>
      </c>
      <c r="L29" s="47">
        <f t="shared" si="12"/>
        <v>460.84905321689217</v>
      </c>
      <c r="M29" s="43">
        <f t="shared" si="13"/>
        <v>463.36672823650002</v>
      </c>
      <c r="N29" s="225">
        <f t="shared" si="14"/>
        <v>129.48707005431842</v>
      </c>
    </row>
    <row r="30" spans="1:34" ht="13" x14ac:dyDescent="0.3">
      <c r="A30" s="49"/>
      <c r="C30" s="49"/>
      <c r="E30" s="49"/>
      <c r="F30" s="55"/>
      <c r="I30" s="227" t="s">
        <v>161</v>
      </c>
      <c r="J30" s="43">
        <v>95000</v>
      </c>
      <c r="K30" s="43">
        <f>1.25*25.4</f>
        <v>31.75</v>
      </c>
      <c r="L30" s="47">
        <f t="shared" si="12"/>
        <v>576.06131652111526</v>
      </c>
      <c r="M30" s="43">
        <f t="shared" si="13"/>
        <v>370.69338258919998</v>
      </c>
      <c r="N30" s="225">
        <f t="shared" si="14"/>
        <v>256.27649281583854</v>
      </c>
    </row>
    <row r="31" spans="1:34" ht="13" x14ac:dyDescent="0.3">
      <c r="A31" s="2" t="s">
        <v>125</v>
      </c>
      <c r="C31" s="49"/>
      <c r="E31" s="49"/>
      <c r="F31" s="55"/>
      <c r="I31" s="227" t="s">
        <v>162</v>
      </c>
      <c r="J31" s="43">
        <v>160000</v>
      </c>
      <c r="K31" s="43">
        <f>1.5*25.4</f>
        <v>38.099999999999994</v>
      </c>
      <c r="L31" s="47">
        <f t="shared" si="12"/>
        <v>691.27357982533817</v>
      </c>
      <c r="M31" s="43">
        <f t="shared" si="13"/>
        <v>308.91115215766672</v>
      </c>
      <c r="N31" s="225">
        <f t="shared" si="14"/>
        <v>517.94828021727358</v>
      </c>
    </row>
    <row r="32" spans="1:34" ht="13" x14ac:dyDescent="0.3">
      <c r="A32" s="49" t="s">
        <v>126</v>
      </c>
      <c r="B32" s="64"/>
      <c r="E32" s="49" t="s">
        <v>127</v>
      </c>
      <c r="F32" s="2" t="e">
        <f>(F42/B32)*60</f>
        <v>#DIV/0!</v>
      </c>
    </row>
    <row r="33" spans="1:17" ht="12.75" customHeight="1" x14ac:dyDescent="0.3">
      <c r="A33" s="49"/>
      <c r="E33" s="49" t="s">
        <v>128</v>
      </c>
      <c r="F33" s="68" t="e">
        <f>B7/F32</f>
        <v>#DIV/0!</v>
      </c>
      <c r="G33" s="42"/>
      <c r="I33" s="58" t="s">
        <v>122</v>
      </c>
      <c r="J33" s="4">
        <f>IF(B25=I26,K26,IF(B25=I27,K27,IF(B25=I28,K28,IF(B25=I29,K29,IF(B25=I30,K30,IF(B25=I31,K31))))))*B27/PI()</f>
        <v>288.03065826055757</v>
      </c>
      <c r="K33" s="49" t="s">
        <v>97</v>
      </c>
    </row>
    <row r="34" spans="1:17" ht="13" x14ac:dyDescent="0.3">
      <c r="A34" s="49"/>
      <c r="E34" s="49"/>
      <c r="F34" s="55"/>
    </row>
    <row r="35" spans="1:17" ht="13" thickBot="1" x14ac:dyDescent="0.3">
      <c r="G35" s="8"/>
      <c r="I35" s="82" t="s">
        <v>188</v>
      </c>
    </row>
    <row r="36" spans="1:17" ht="13" x14ac:dyDescent="0.3">
      <c r="A36" s="29" t="s">
        <v>62</v>
      </c>
      <c r="B36" s="69"/>
      <c r="C36" s="30"/>
      <c r="E36" s="59" t="s">
        <v>9</v>
      </c>
      <c r="F36" s="116">
        <f>+B6/F15</f>
        <v>4869.9715849206013</v>
      </c>
      <c r="G36" s="8"/>
      <c r="I36" s="81">
        <f>IF(B27&lt;&gt;"",B27/B26,"")</f>
        <v>3.8</v>
      </c>
    </row>
    <row r="37" spans="1:17" ht="13" x14ac:dyDescent="0.3">
      <c r="A37" s="31"/>
      <c r="B37" s="32"/>
      <c r="C37" s="33"/>
      <c r="E37" s="60"/>
      <c r="F37" s="117"/>
      <c r="I37" s="223" t="s">
        <v>238</v>
      </c>
    </row>
    <row r="38" spans="1:17" ht="13" x14ac:dyDescent="0.3">
      <c r="A38" s="31" t="s">
        <v>63</v>
      </c>
      <c r="B38" s="70"/>
      <c r="C38" s="33"/>
      <c r="E38" s="61" t="s">
        <v>61</v>
      </c>
      <c r="F38" s="118">
        <f>+F17*G18</f>
        <v>206.03272678792001</v>
      </c>
      <c r="I38" s="81">
        <f>IF(I36="",F42,I36*F42)</f>
        <v>26.599999999999998</v>
      </c>
    </row>
    <row r="39" spans="1:17" ht="13" x14ac:dyDescent="0.3">
      <c r="A39" s="31"/>
      <c r="B39" s="32"/>
      <c r="C39" s="33"/>
      <c r="E39" s="61"/>
      <c r="F39" s="118"/>
    </row>
    <row r="40" spans="1:17" ht="13" x14ac:dyDescent="0.3">
      <c r="A40" s="71" t="s">
        <v>133</v>
      </c>
      <c r="B40" s="70"/>
      <c r="C40" s="33"/>
      <c r="E40" s="61" t="s">
        <v>124</v>
      </c>
      <c r="F40" s="119">
        <f>(F42*B16*2)+F6</f>
        <v>477</v>
      </c>
    </row>
    <row r="41" spans="1:17" ht="15.75" customHeight="1" x14ac:dyDescent="0.3">
      <c r="A41" s="34"/>
      <c r="B41" s="32"/>
      <c r="C41" s="33"/>
      <c r="E41" s="61"/>
      <c r="F41" s="120"/>
    </row>
    <row r="42" spans="1:17" ht="13.5" thickBot="1" x14ac:dyDescent="0.35">
      <c r="A42" s="35" t="s">
        <v>64</v>
      </c>
      <c r="B42" s="37">
        <f ca="1">NOW()</f>
        <v>45981.873379166667</v>
      </c>
      <c r="C42" s="36"/>
      <c r="E42" s="62" t="s">
        <v>59</v>
      </c>
      <c r="F42" s="63">
        <f>COUNTIF(J5:J22,"&gt;0")</f>
        <v>7</v>
      </c>
      <c r="I42" s="43"/>
      <c r="J42" s="43"/>
      <c r="K42" s="43"/>
      <c r="L42" s="43"/>
      <c r="N42" s="230" t="s">
        <v>255</v>
      </c>
      <c r="O42" s="237" t="s">
        <v>256</v>
      </c>
      <c r="P42" s="237" t="s">
        <v>302</v>
      </c>
      <c r="Q42" s="237" t="s">
        <v>303</v>
      </c>
    </row>
    <row r="43" spans="1:17" ht="13" x14ac:dyDescent="0.3">
      <c r="A43" s="55"/>
      <c r="B43" s="56"/>
      <c r="C43" s="28"/>
      <c r="E43" s="2"/>
      <c r="F43" s="57"/>
      <c r="I43" s="247" t="s">
        <v>255</v>
      </c>
      <c r="J43" s="247" t="s">
        <v>256</v>
      </c>
      <c r="K43" s="248" t="s">
        <v>257</v>
      </c>
      <c r="L43" s="236" t="s">
        <v>258</v>
      </c>
      <c r="N43" s="43"/>
      <c r="O43" s="238"/>
      <c r="P43" s="238"/>
      <c r="Q43" s="238" t="s">
        <v>259</v>
      </c>
    </row>
    <row r="44" spans="1:17" ht="13" thickBot="1" x14ac:dyDescent="0.3">
      <c r="I44" s="247"/>
      <c r="J44" s="247"/>
      <c r="K44" s="248"/>
      <c r="L44" s="235" t="s">
        <v>259</v>
      </c>
      <c r="N44" s="43" t="s">
        <v>260</v>
      </c>
      <c r="O44" s="238">
        <v>15</v>
      </c>
      <c r="P44" s="238" t="s">
        <v>116</v>
      </c>
      <c r="Q44" s="238" t="s">
        <v>289</v>
      </c>
    </row>
    <row r="45" spans="1:17" ht="12.75" customHeight="1" x14ac:dyDescent="0.25">
      <c r="A45" s="249" t="s">
        <v>213</v>
      </c>
      <c r="B45" s="250"/>
      <c r="C45" s="250"/>
      <c r="D45" s="250"/>
      <c r="E45" s="250"/>
      <c r="F45" s="251"/>
      <c r="I45" s="231" t="s">
        <v>260</v>
      </c>
      <c r="J45" s="232">
        <v>50</v>
      </c>
      <c r="K45" s="231" t="s">
        <v>265</v>
      </c>
      <c r="L45" s="231" t="s">
        <v>272</v>
      </c>
      <c r="N45" s="43" t="s">
        <v>260</v>
      </c>
      <c r="O45" s="238">
        <v>19</v>
      </c>
      <c r="P45" s="238" t="s">
        <v>282</v>
      </c>
      <c r="Q45" s="238" t="s">
        <v>290</v>
      </c>
    </row>
    <row r="46" spans="1:17" ht="16.5" customHeight="1" thickBot="1" x14ac:dyDescent="0.3">
      <c r="A46" s="252"/>
      <c r="B46" s="253"/>
      <c r="C46" s="253"/>
      <c r="D46" s="253"/>
      <c r="E46" s="253"/>
      <c r="F46" s="254"/>
      <c r="I46" s="233" t="s">
        <v>260</v>
      </c>
      <c r="J46" s="234">
        <v>57</v>
      </c>
      <c r="K46" s="233" t="s">
        <v>265</v>
      </c>
      <c r="L46" s="233" t="s">
        <v>273</v>
      </c>
      <c r="N46" s="43" t="s">
        <v>260</v>
      </c>
      <c r="O46" s="238">
        <v>30</v>
      </c>
      <c r="P46" s="238" t="s">
        <v>116</v>
      </c>
      <c r="Q46" s="238" t="s">
        <v>291</v>
      </c>
    </row>
    <row r="47" spans="1:17" ht="14.5" customHeight="1" thickBot="1" x14ac:dyDescent="0.3">
      <c r="A47" s="83"/>
      <c r="B47" s="83"/>
      <c r="C47" s="83"/>
      <c r="D47" s="83"/>
      <c r="E47" s="83"/>
      <c r="F47" s="83"/>
      <c r="I47" s="233" t="s">
        <v>261</v>
      </c>
      <c r="J47" s="234">
        <v>57</v>
      </c>
      <c r="K47" s="233" t="s">
        <v>266</v>
      </c>
      <c r="L47" s="233" t="s">
        <v>274</v>
      </c>
      <c r="N47" s="43" t="s">
        <v>261</v>
      </c>
      <c r="O47" s="238">
        <v>12</v>
      </c>
      <c r="P47" s="238" t="s">
        <v>116</v>
      </c>
      <c r="Q47" s="238" t="s">
        <v>292</v>
      </c>
    </row>
    <row r="48" spans="1:17" ht="15.75" customHeight="1" thickBot="1" x14ac:dyDescent="0.3">
      <c r="A48" s="83"/>
      <c r="B48" s="266" t="s">
        <v>223</v>
      </c>
      <c r="C48" s="267"/>
      <c r="D48" s="268"/>
      <c r="E48" s="83"/>
      <c r="F48" s="83"/>
      <c r="I48" s="233" t="s">
        <v>262</v>
      </c>
      <c r="J48" s="234">
        <v>57</v>
      </c>
      <c r="K48" s="233" t="s">
        <v>267</v>
      </c>
      <c r="L48" s="233" t="s">
        <v>275</v>
      </c>
      <c r="N48" s="43" t="s">
        <v>261</v>
      </c>
      <c r="O48" s="238">
        <v>18</v>
      </c>
      <c r="P48" s="238" t="s">
        <v>116</v>
      </c>
      <c r="Q48" s="238" t="s">
        <v>293</v>
      </c>
    </row>
    <row r="49" spans="1:17" ht="12" customHeight="1" thickBot="1" x14ac:dyDescent="0.3">
      <c r="A49" s="83"/>
      <c r="B49" s="83"/>
      <c r="C49" s="83"/>
      <c r="D49" s="83"/>
      <c r="E49" s="83"/>
      <c r="F49" s="83"/>
      <c r="I49" s="231" t="s">
        <v>262</v>
      </c>
      <c r="J49" s="232">
        <v>76</v>
      </c>
      <c r="K49" s="231" t="s">
        <v>268</v>
      </c>
      <c r="L49" s="231" t="s">
        <v>276</v>
      </c>
      <c r="N49" s="43" t="s">
        <v>262</v>
      </c>
      <c r="O49" s="238">
        <v>12</v>
      </c>
      <c r="P49" s="238" t="s">
        <v>283</v>
      </c>
      <c r="Q49" s="238" t="s">
        <v>294</v>
      </c>
    </row>
    <row r="50" spans="1:17" ht="14" x14ac:dyDescent="0.25">
      <c r="A50" s="96" t="s">
        <v>207</v>
      </c>
      <c r="B50" s="97"/>
      <c r="C50" s="97"/>
      <c r="D50" s="272"/>
      <c r="E50" s="272"/>
      <c r="F50" s="273"/>
      <c r="I50" s="231" t="s">
        <v>263</v>
      </c>
      <c r="J50" s="232">
        <v>45</v>
      </c>
      <c r="K50" s="231" t="s">
        <v>269</v>
      </c>
      <c r="L50" s="231" t="s">
        <v>277</v>
      </c>
      <c r="N50" s="43" t="s">
        <v>262</v>
      </c>
      <c r="O50" s="238">
        <v>15</v>
      </c>
      <c r="P50" s="238" t="s">
        <v>284</v>
      </c>
      <c r="Q50" s="238" t="s">
        <v>295</v>
      </c>
    </row>
    <row r="51" spans="1:17" ht="11" customHeight="1" x14ac:dyDescent="0.25">
      <c r="A51" s="258" t="s">
        <v>194</v>
      </c>
      <c r="B51" s="98"/>
      <c r="C51" s="115"/>
      <c r="D51" s="115"/>
      <c r="E51" s="115"/>
      <c r="F51" s="160"/>
      <c r="I51" s="233" t="s">
        <v>263</v>
      </c>
      <c r="J51" s="234">
        <v>57</v>
      </c>
      <c r="K51" s="233" t="s">
        <v>270</v>
      </c>
      <c r="L51" s="233" t="s">
        <v>278</v>
      </c>
      <c r="N51" s="43" t="s">
        <v>262</v>
      </c>
      <c r="O51" s="238">
        <v>19</v>
      </c>
      <c r="P51" s="238" t="s">
        <v>285</v>
      </c>
      <c r="Q51" s="238" t="s">
        <v>296</v>
      </c>
    </row>
    <row r="52" spans="1:17" ht="13" x14ac:dyDescent="0.25">
      <c r="A52" s="258"/>
      <c r="B52" s="121"/>
      <c r="C52" s="91"/>
      <c r="D52" s="92"/>
      <c r="E52" s="92"/>
      <c r="F52" s="153" t="s">
        <v>211</v>
      </c>
      <c r="I52" s="231" t="s">
        <v>263</v>
      </c>
      <c r="J52" s="232">
        <v>76</v>
      </c>
      <c r="K52" s="231" t="s">
        <v>271</v>
      </c>
      <c r="L52" s="231" t="s">
        <v>279</v>
      </c>
      <c r="N52" s="43" t="s">
        <v>263</v>
      </c>
      <c r="O52" s="238">
        <v>15</v>
      </c>
      <c r="P52" s="238" t="s">
        <v>286</v>
      </c>
      <c r="Q52" s="238" t="s">
        <v>297</v>
      </c>
    </row>
    <row r="53" spans="1:17" ht="13" x14ac:dyDescent="0.25">
      <c r="A53" s="122" t="s">
        <v>209</v>
      </c>
      <c r="B53" s="123" t="s">
        <v>210</v>
      </c>
      <c r="C53" s="98"/>
      <c r="D53" s="98"/>
      <c r="E53" s="98"/>
      <c r="F53" s="154" t="s">
        <v>205</v>
      </c>
      <c r="I53" s="233" t="s">
        <v>264</v>
      </c>
      <c r="J53" s="234">
        <v>57</v>
      </c>
      <c r="K53" s="233" t="s">
        <v>271</v>
      </c>
      <c r="L53" s="233" t="s">
        <v>280</v>
      </c>
      <c r="N53" s="43" t="s">
        <v>263</v>
      </c>
      <c r="O53" s="238">
        <v>19</v>
      </c>
      <c r="P53" s="238" t="s">
        <v>287</v>
      </c>
      <c r="Q53" s="238" t="s">
        <v>298</v>
      </c>
    </row>
    <row r="54" spans="1:17" ht="13" x14ac:dyDescent="0.25">
      <c r="A54" s="88" t="s">
        <v>216</v>
      </c>
      <c r="B54" s="279" t="s">
        <v>182</v>
      </c>
      <c r="C54" s="280"/>
      <c r="D54" s="280"/>
      <c r="E54" s="93"/>
      <c r="F54" s="90" t="s">
        <v>208</v>
      </c>
      <c r="N54" s="43" t="s">
        <v>263</v>
      </c>
      <c r="O54" s="238">
        <v>21</v>
      </c>
      <c r="P54" s="238" t="s">
        <v>288</v>
      </c>
      <c r="Q54" s="238" t="s">
        <v>299</v>
      </c>
    </row>
    <row r="55" spans="1:17" ht="13" x14ac:dyDescent="0.25">
      <c r="A55" s="151" t="s">
        <v>190</v>
      </c>
      <c r="B55" s="281" t="s">
        <v>183</v>
      </c>
      <c r="C55" s="282"/>
      <c r="D55" s="152"/>
      <c r="E55" s="152"/>
      <c r="F55" s="89" t="s">
        <v>208</v>
      </c>
      <c r="N55" s="43" t="s">
        <v>281</v>
      </c>
      <c r="O55" s="238">
        <v>12</v>
      </c>
      <c r="P55" s="238" t="s">
        <v>288</v>
      </c>
      <c r="Q55" s="238" t="s">
        <v>300</v>
      </c>
    </row>
    <row r="56" spans="1:17" ht="13.5" thickBot="1" x14ac:dyDescent="0.3">
      <c r="A56" s="86" t="s">
        <v>191</v>
      </c>
      <c r="B56" s="283" t="s">
        <v>184</v>
      </c>
      <c r="C56" s="284"/>
      <c r="D56" s="94"/>
      <c r="E56" s="94"/>
      <c r="F56" s="155" t="s">
        <v>208</v>
      </c>
      <c r="N56" s="43" t="s">
        <v>281</v>
      </c>
      <c r="O56" s="238">
        <v>15</v>
      </c>
      <c r="P56" s="238" t="s">
        <v>288</v>
      </c>
      <c r="Q56" s="238" t="s">
        <v>301</v>
      </c>
    </row>
    <row r="57" spans="1:17" ht="8.25" customHeight="1" thickBot="1" x14ac:dyDescent="0.3">
      <c r="A57" s="84"/>
      <c r="B57" s="84"/>
      <c r="C57" s="84"/>
      <c r="D57" s="83"/>
      <c r="E57" s="83"/>
      <c r="F57" s="83"/>
    </row>
    <row r="58" spans="1:17" ht="18" customHeight="1" x14ac:dyDescent="0.3">
      <c r="A58" s="100" t="s">
        <v>212</v>
      </c>
      <c r="B58" s="101"/>
      <c r="C58" s="97"/>
      <c r="D58" s="97"/>
      <c r="E58" s="97"/>
      <c r="F58" s="157"/>
      <c r="J58" s="184"/>
    </row>
    <row r="59" spans="1:17" ht="4.5" customHeight="1" x14ac:dyDescent="0.3">
      <c r="A59" s="189"/>
      <c r="B59" s="102"/>
      <c r="C59" s="99"/>
      <c r="D59" s="99"/>
      <c r="E59" s="99"/>
      <c r="F59" s="159"/>
    </row>
    <row r="60" spans="1:17" ht="12.75" customHeight="1" x14ac:dyDescent="0.3">
      <c r="A60" s="190" t="s">
        <v>229</v>
      </c>
      <c r="B60" s="121"/>
      <c r="C60" s="91"/>
      <c r="D60" s="158"/>
      <c r="E60" s="172"/>
      <c r="F60" s="156" t="s">
        <v>206</v>
      </c>
      <c r="J60" s="183"/>
    </row>
    <row r="61" spans="1:17" ht="2.25" customHeight="1" x14ac:dyDescent="0.25">
      <c r="A61" s="162"/>
      <c r="B61" s="121"/>
      <c r="C61" s="164"/>
      <c r="D61" s="164"/>
      <c r="E61" s="165"/>
      <c r="F61" s="156"/>
    </row>
    <row r="62" spans="1:17" ht="21.75" customHeight="1" x14ac:dyDescent="0.25">
      <c r="A62" s="197" t="s">
        <v>195</v>
      </c>
      <c r="B62" s="163" t="s">
        <v>192</v>
      </c>
      <c r="C62" s="285" t="s">
        <v>193</v>
      </c>
      <c r="D62" s="286"/>
      <c r="E62" s="287"/>
      <c r="F62" s="216" t="s">
        <v>205</v>
      </c>
    </row>
    <row r="63" spans="1:17" ht="12.75" customHeight="1" x14ac:dyDescent="0.25">
      <c r="A63" s="217" t="s">
        <v>237</v>
      </c>
      <c r="B63" s="218" t="s">
        <v>236</v>
      </c>
      <c r="C63" s="219" t="s">
        <v>236</v>
      </c>
      <c r="D63" s="195"/>
      <c r="E63" s="196"/>
      <c r="F63" s="209" t="s">
        <v>198</v>
      </c>
    </row>
    <row r="64" spans="1:17" ht="13" x14ac:dyDescent="0.25">
      <c r="A64" s="198" t="s">
        <v>197</v>
      </c>
      <c r="B64" s="199">
        <v>0.15</v>
      </c>
      <c r="C64" s="200">
        <v>0.2</v>
      </c>
      <c r="D64" s="201"/>
      <c r="E64" s="202"/>
      <c r="F64" s="208" t="s">
        <v>199</v>
      </c>
    </row>
    <row r="65" spans="1:19" ht="13" x14ac:dyDescent="0.25">
      <c r="A65" s="203" t="s">
        <v>217</v>
      </c>
      <c r="B65" s="204">
        <v>0.2</v>
      </c>
      <c r="C65" s="205">
        <v>0.25</v>
      </c>
      <c r="D65" s="206"/>
      <c r="E65" s="207"/>
      <c r="F65" s="209" t="s">
        <v>200</v>
      </c>
    </row>
    <row r="66" spans="1:19" ht="13" x14ac:dyDescent="0.25">
      <c r="A66" s="198" t="s">
        <v>218</v>
      </c>
      <c r="B66" s="199">
        <v>0.25</v>
      </c>
      <c r="C66" s="200">
        <v>0.3</v>
      </c>
      <c r="D66" s="201"/>
      <c r="E66" s="202"/>
      <c r="F66" s="208" t="s">
        <v>201</v>
      </c>
    </row>
    <row r="67" spans="1:19" ht="20.5" thickBot="1" x14ac:dyDescent="0.3">
      <c r="A67" s="210" t="s">
        <v>196</v>
      </c>
      <c r="B67" s="211">
        <v>0.3</v>
      </c>
      <c r="C67" s="212">
        <v>0.3</v>
      </c>
      <c r="D67" s="213"/>
      <c r="E67" s="214"/>
      <c r="F67" s="215" t="s">
        <v>235</v>
      </c>
    </row>
    <row r="68" spans="1:19" ht="6" customHeight="1" thickBot="1" x14ac:dyDescent="0.3">
      <c r="A68" s="84"/>
      <c r="B68" s="84"/>
      <c r="C68" s="84"/>
      <c r="D68" s="84"/>
      <c r="E68" s="84"/>
      <c r="F68" s="84"/>
      <c r="G68" s="85"/>
    </row>
    <row r="69" spans="1:19" ht="26.25" customHeight="1" thickBot="1" x14ac:dyDescent="0.3">
      <c r="A69" s="263" t="s">
        <v>240</v>
      </c>
      <c r="B69" s="264"/>
      <c r="C69" s="264"/>
      <c r="D69" s="264"/>
      <c r="E69" s="264"/>
      <c r="F69" s="265"/>
    </row>
    <row r="70" spans="1:19" ht="6" customHeight="1" thickBot="1" x14ac:dyDescent="0.3">
      <c r="A70" s="83"/>
      <c r="B70" s="83"/>
      <c r="C70" s="83"/>
      <c r="D70" s="83"/>
      <c r="E70" s="83"/>
      <c r="F70" s="83" t="s">
        <v>228</v>
      </c>
    </row>
    <row r="71" spans="1:19" ht="17.25" customHeight="1" thickBot="1" x14ac:dyDescent="0.3">
      <c r="A71" s="263" t="s">
        <v>234</v>
      </c>
      <c r="B71" s="264"/>
      <c r="C71" s="264"/>
      <c r="D71" s="264"/>
      <c r="E71" s="264"/>
      <c r="F71" s="265"/>
    </row>
    <row r="72" spans="1:19" ht="6" customHeight="1" thickBot="1" x14ac:dyDescent="0.3">
      <c r="A72" s="83"/>
      <c r="B72" s="83"/>
      <c r="C72" s="83"/>
      <c r="D72" s="83"/>
      <c r="E72" s="83"/>
      <c r="F72" s="83"/>
    </row>
    <row r="73" spans="1:19" ht="32.25" customHeight="1" thickBot="1" x14ac:dyDescent="0.3">
      <c r="A73" s="263" t="s">
        <v>241</v>
      </c>
      <c r="B73" s="264"/>
      <c r="C73" s="264"/>
      <c r="D73" s="264"/>
      <c r="E73" s="264"/>
      <c r="F73" s="265"/>
    </row>
    <row r="74" spans="1:19" ht="6" customHeight="1" thickBot="1" x14ac:dyDescent="0.3">
      <c r="A74" s="84"/>
      <c r="B74" s="84"/>
      <c r="C74" s="84"/>
      <c r="D74" s="84"/>
      <c r="E74" s="84"/>
      <c r="F74" s="84"/>
      <c r="G74" s="85"/>
    </row>
    <row r="75" spans="1:19" ht="30" customHeight="1" x14ac:dyDescent="0.25">
      <c r="A75" s="269" t="s">
        <v>227</v>
      </c>
      <c r="B75" s="270"/>
      <c r="C75" s="270"/>
      <c r="D75" s="270"/>
      <c r="E75" s="270"/>
      <c r="F75" s="271"/>
    </row>
    <row r="76" spans="1:19" ht="6" customHeight="1" x14ac:dyDescent="0.25">
      <c r="A76" s="175"/>
      <c r="B76" s="176"/>
      <c r="C76" s="176"/>
      <c r="D76" s="176"/>
      <c r="E76" s="176"/>
      <c r="F76" s="177"/>
    </row>
    <row r="77" spans="1:19" ht="15.75" customHeight="1" x14ac:dyDescent="0.25">
      <c r="A77" s="274" t="s">
        <v>226</v>
      </c>
      <c r="B77" s="275"/>
      <c r="C77" s="275"/>
      <c r="D77" s="275"/>
      <c r="E77" s="275"/>
      <c r="F77" s="276"/>
    </row>
    <row r="78" spans="1:19" ht="6" customHeight="1" x14ac:dyDescent="0.25">
      <c r="A78" s="175"/>
      <c r="B78" s="176"/>
      <c r="C78" s="176"/>
      <c r="D78" s="176"/>
      <c r="E78" s="176"/>
      <c r="F78" s="177"/>
    </row>
    <row r="79" spans="1:19" ht="15.75" customHeight="1" x14ac:dyDescent="0.25">
      <c r="A79" s="274" t="s">
        <v>224</v>
      </c>
      <c r="B79" s="277"/>
      <c r="C79" s="277"/>
      <c r="D79" s="277"/>
      <c r="E79" s="277"/>
      <c r="F79" s="278"/>
      <c r="S79" s="80"/>
    </row>
    <row r="80" spans="1:19" ht="6" customHeight="1" x14ac:dyDescent="0.25">
      <c r="A80" s="175"/>
      <c r="B80" s="178"/>
      <c r="C80" s="178"/>
      <c r="D80" s="178"/>
      <c r="E80" s="178"/>
      <c r="F80" s="179"/>
      <c r="S80" s="80"/>
    </row>
    <row r="81" spans="1:6" ht="15.75" customHeight="1" x14ac:dyDescent="0.3">
      <c r="A81" s="255" t="s">
        <v>225</v>
      </c>
      <c r="B81" s="256"/>
      <c r="C81" s="256"/>
      <c r="D81" s="256"/>
      <c r="E81" s="256"/>
      <c r="F81" s="257"/>
    </row>
    <row r="82" spans="1:6" ht="6" customHeight="1" x14ac:dyDescent="0.25">
      <c r="A82" s="180"/>
      <c r="B82" s="84"/>
      <c r="C82" s="84"/>
      <c r="D82" s="84"/>
      <c r="E82" s="84"/>
      <c r="F82" s="181"/>
    </row>
    <row r="83" spans="1:6" ht="12.75" customHeight="1" x14ac:dyDescent="0.25">
      <c r="A83" s="288" t="s">
        <v>245</v>
      </c>
      <c r="B83" s="289"/>
      <c r="C83" s="289"/>
      <c r="D83" s="289"/>
      <c r="E83" s="289"/>
      <c r="F83" s="290"/>
    </row>
    <row r="84" spans="1:6" ht="13" thickBot="1" x14ac:dyDescent="0.3">
      <c r="A84" s="288"/>
      <c r="B84" s="289"/>
      <c r="C84" s="289"/>
      <c r="D84" s="289"/>
      <c r="E84" s="289"/>
      <c r="F84" s="290"/>
    </row>
    <row r="85" spans="1:6" ht="13" thickBot="1" x14ac:dyDescent="0.3">
      <c r="A85" s="174"/>
      <c r="B85" s="182"/>
      <c r="C85" s="124"/>
      <c r="D85" s="173"/>
      <c r="E85" s="174"/>
      <c r="F85" s="174"/>
    </row>
    <row r="86" spans="1:6" ht="21.75" customHeight="1" thickBot="1" x14ac:dyDescent="0.3">
      <c r="A86" s="259" t="s">
        <v>222</v>
      </c>
      <c r="B86" s="260"/>
      <c r="C86" s="261"/>
      <c r="D86" s="260"/>
      <c r="E86" s="260"/>
      <c r="F86" s="262"/>
    </row>
    <row r="87" spans="1:6" ht="15.5" x14ac:dyDescent="0.35">
      <c r="A87" s="166"/>
      <c r="B87" s="295" t="s">
        <v>215</v>
      </c>
      <c r="C87" s="295" t="s">
        <v>81</v>
      </c>
      <c r="D87" s="297"/>
      <c r="E87" s="293" t="s">
        <v>185</v>
      </c>
      <c r="F87" s="294"/>
    </row>
    <row r="88" spans="1:6" ht="17.25" customHeight="1" x14ac:dyDescent="0.3">
      <c r="A88" s="291" t="s">
        <v>214</v>
      </c>
      <c r="B88" s="296"/>
      <c r="C88" s="296"/>
      <c r="D88" s="298"/>
      <c r="E88" s="299" t="s">
        <v>186</v>
      </c>
      <c r="F88" s="300"/>
    </row>
    <row r="89" spans="1:6" ht="14.25" customHeight="1" thickBot="1" x14ac:dyDescent="0.35">
      <c r="A89" s="292"/>
      <c r="B89" s="167" t="s">
        <v>70</v>
      </c>
      <c r="C89" s="168" t="s">
        <v>83</v>
      </c>
      <c r="D89" s="169" t="s">
        <v>82</v>
      </c>
      <c r="E89" s="170" t="s">
        <v>84</v>
      </c>
      <c r="F89" s="171" t="s">
        <v>82</v>
      </c>
    </row>
    <row r="90" spans="1:6" ht="6" customHeight="1" x14ac:dyDescent="0.25">
      <c r="A90" s="87"/>
      <c r="B90" s="76"/>
      <c r="C90" s="185"/>
      <c r="D90" s="186"/>
      <c r="E90" s="185"/>
      <c r="F90" s="187"/>
    </row>
    <row r="91" spans="1:6" x14ac:dyDescent="0.25">
      <c r="A91" s="125" t="s">
        <v>71</v>
      </c>
      <c r="B91" s="126">
        <v>9.8000000000000007</v>
      </c>
      <c r="C91" s="127">
        <v>15</v>
      </c>
      <c r="D91" s="128">
        <v>10</v>
      </c>
      <c r="E91" s="129">
        <v>20</v>
      </c>
      <c r="F91" s="128">
        <v>15</v>
      </c>
    </row>
    <row r="92" spans="1:6" x14ac:dyDescent="0.25">
      <c r="A92" s="131" t="s">
        <v>242</v>
      </c>
      <c r="B92" s="132">
        <v>8.3000000000000007</v>
      </c>
      <c r="C92" s="133">
        <v>15</v>
      </c>
      <c r="D92" s="134">
        <v>10</v>
      </c>
      <c r="E92" s="135">
        <v>20</v>
      </c>
      <c r="F92" s="134">
        <v>15</v>
      </c>
    </row>
    <row r="93" spans="1:6" x14ac:dyDescent="0.25">
      <c r="A93" s="108" t="s">
        <v>72</v>
      </c>
      <c r="B93" s="109">
        <v>10.199999999999999</v>
      </c>
      <c r="C93" s="110">
        <v>15</v>
      </c>
      <c r="D93" s="111">
        <v>10</v>
      </c>
      <c r="E93" s="112">
        <v>20</v>
      </c>
      <c r="F93" s="111">
        <v>15</v>
      </c>
    </row>
    <row r="94" spans="1:6" ht="6" customHeight="1" x14ac:dyDescent="0.3">
      <c r="A94" s="103"/>
      <c r="B94" s="39"/>
      <c r="C94" s="40"/>
      <c r="D94" s="95"/>
      <c r="E94" s="38"/>
      <c r="F94" s="95"/>
    </row>
    <row r="95" spans="1:6" x14ac:dyDescent="0.25">
      <c r="A95" s="136" t="s">
        <v>73</v>
      </c>
      <c r="B95" s="137">
        <v>12.5</v>
      </c>
      <c r="C95" s="138">
        <v>15</v>
      </c>
      <c r="D95" s="139">
        <v>10</v>
      </c>
      <c r="E95" s="140">
        <v>20</v>
      </c>
      <c r="F95" s="139">
        <v>15</v>
      </c>
    </row>
    <row r="96" spans="1:6" x14ac:dyDescent="0.25">
      <c r="A96" s="108" t="s">
        <v>243</v>
      </c>
      <c r="B96" s="109">
        <v>10.5</v>
      </c>
      <c r="C96" s="110">
        <v>15</v>
      </c>
      <c r="D96" s="111">
        <v>10</v>
      </c>
      <c r="E96" s="112">
        <v>20</v>
      </c>
      <c r="F96" s="111">
        <v>15</v>
      </c>
    </row>
    <row r="97" spans="1:6" ht="6" customHeight="1" x14ac:dyDescent="0.25">
      <c r="A97" s="53"/>
      <c r="B97" s="104"/>
      <c r="C97" s="105"/>
      <c r="D97" s="106"/>
      <c r="E97" s="107"/>
      <c r="F97" s="106"/>
    </row>
    <row r="98" spans="1:6" x14ac:dyDescent="0.25">
      <c r="A98" s="136" t="s">
        <v>74</v>
      </c>
      <c r="B98" s="137">
        <v>16.7</v>
      </c>
      <c r="C98" s="138">
        <v>15</v>
      </c>
      <c r="D98" s="139">
        <v>10</v>
      </c>
      <c r="E98" s="140">
        <v>20</v>
      </c>
      <c r="F98" s="139">
        <v>15</v>
      </c>
    </row>
    <row r="99" spans="1:6" x14ac:dyDescent="0.25">
      <c r="A99" s="108" t="s">
        <v>244</v>
      </c>
      <c r="B99" s="109">
        <v>14</v>
      </c>
      <c r="C99" s="110">
        <v>15</v>
      </c>
      <c r="D99" s="111">
        <v>10</v>
      </c>
      <c r="E99" s="112">
        <v>20</v>
      </c>
      <c r="F99" s="111">
        <v>15</v>
      </c>
    </row>
    <row r="100" spans="1:6" ht="6" customHeight="1" x14ac:dyDescent="0.25">
      <c r="A100" s="53"/>
      <c r="B100" s="104"/>
      <c r="C100" s="105"/>
      <c r="D100" s="106"/>
      <c r="E100" s="107"/>
      <c r="F100" s="106"/>
    </row>
    <row r="101" spans="1:6" x14ac:dyDescent="0.25">
      <c r="A101" s="141" t="s">
        <v>75</v>
      </c>
      <c r="B101" s="142">
        <v>22</v>
      </c>
      <c r="C101" s="143">
        <v>15</v>
      </c>
      <c r="D101" s="144">
        <v>10</v>
      </c>
      <c r="E101" s="145">
        <v>20</v>
      </c>
      <c r="F101" s="144">
        <v>15</v>
      </c>
    </row>
    <row r="102" spans="1:6" ht="6" customHeight="1" x14ac:dyDescent="0.25">
      <c r="A102" s="53"/>
      <c r="B102" s="104"/>
      <c r="C102" s="105"/>
      <c r="D102" s="106"/>
      <c r="E102" s="107"/>
      <c r="F102" s="106"/>
    </row>
    <row r="103" spans="1:6" ht="13.5" customHeight="1" x14ac:dyDescent="0.35">
      <c r="A103" s="125" t="s">
        <v>76</v>
      </c>
      <c r="B103" s="126">
        <v>21</v>
      </c>
      <c r="C103" s="127" t="s">
        <v>219</v>
      </c>
      <c r="D103" s="128">
        <v>5</v>
      </c>
      <c r="E103" s="129" t="s">
        <v>220</v>
      </c>
      <c r="F103" s="128">
        <v>15</v>
      </c>
    </row>
    <row r="104" spans="1:6" ht="12.75" customHeight="1" x14ac:dyDescent="0.35">
      <c r="A104" s="131" t="s">
        <v>77</v>
      </c>
      <c r="B104" s="132">
        <v>21</v>
      </c>
      <c r="C104" s="133" t="s">
        <v>219</v>
      </c>
      <c r="D104" s="134">
        <v>5</v>
      </c>
      <c r="E104" s="161" t="s">
        <v>221</v>
      </c>
      <c r="F104" s="134">
        <v>15</v>
      </c>
    </row>
    <row r="105" spans="1:6" x14ac:dyDescent="0.25">
      <c r="A105" s="108" t="s">
        <v>141</v>
      </c>
      <c r="B105" s="109">
        <v>12</v>
      </c>
      <c r="C105" s="113">
        <v>22.5</v>
      </c>
      <c r="D105" s="111">
        <v>5</v>
      </c>
      <c r="E105" s="112">
        <v>22.5</v>
      </c>
      <c r="F105" s="111">
        <v>15</v>
      </c>
    </row>
    <row r="106" spans="1:6" ht="6" customHeight="1" x14ac:dyDescent="0.25">
      <c r="A106" s="53"/>
      <c r="B106" s="104"/>
      <c r="C106" s="114"/>
      <c r="D106" s="106"/>
      <c r="E106" s="107"/>
      <c r="F106" s="106"/>
    </row>
    <row r="107" spans="1:6" x14ac:dyDescent="0.25">
      <c r="A107" s="136" t="s">
        <v>78</v>
      </c>
      <c r="B107" s="137">
        <v>7.8</v>
      </c>
      <c r="C107" s="138">
        <v>15</v>
      </c>
      <c r="D107" s="139">
        <v>10</v>
      </c>
      <c r="E107" s="140">
        <v>20</v>
      </c>
      <c r="F107" s="139">
        <v>15</v>
      </c>
    </row>
    <row r="108" spans="1:6" x14ac:dyDescent="0.25">
      <c r="A108" s="53" t="s">
        <v>79</v>
      </c>
      <c r="B108" s="104">
        <v>9.8000000000000007</v>
      </c>
      <c r="C108" s="105">
        <v>15</v>
      </c>
      <c r="D108" s="106">
        <v>10</v>
      </c>
      <c r="E108" s="107">
        <v>20</v>
      </c>
      <c r="F108" s="106">
        <v>15</v>
      </c>
    </row>
    <row r="109" spans="1:6" x14ac:dyDescent="0.25">
      <c r="A109" s="146" t="s">
        <v>80</v>
      </c>
      <c r="B109" s="147">
        <v>14</v>
      </c>
      <c r="C109" s="148">
        <v>15</v>
      </c>
      <c r="D109" s="149">
        <v>10</v>
      </c>
      <c r="E109" s="150">
        <v>20</v>
      </c>
      <c r="F109" s="149">
        <v>15</v>
      </c>
    </row>
    <row r="110" spans="1:6" ht="6" customHeight="1" x14ac:dyDescent="0.25">
      <c r="A110" s="53"/>
      <c r="B110" s="104"/>
      <c r="C110" s="105"/>
      <c r="D110" s="106"/>
      <c r="E110" s="107"/>
      <c r="F110" s="106"/>
    </row>
    <row r="111" spans="1:6" x14ac:dyDescent="0.25">
      <c r="A111" s="125" t="s">
        <v>85</v>
      </c>
      <c r="B111" s="126">
        <v>9</v>
      </c>
      <c r="C111" s="127">
        <v>25</v>
      </c>
      <c r="D111" s="128">
        <v>15</v>
      </c>
      <c r="E111" s="129">
        <v>25</v>
      </c>
      <c r="F111" s="128">
        <v>15</v>
      </c>
    </row>
    <row r="112" spans="1:6" x14ac:dyDescent="0.25">
      <c r="A112" s="131" t="s">
        <v>86</v>
      </c>
      <c r="B112" s="132">
        <v>8</v>
      </c>
      <c r="C112" s="133">
        <v>25</v>
      </c>
      <c r="D112" s="134">
        <v>15</v>
      </c>
      <c r="E112" s="135">
        <v>25</v>
      </c>
      <c r="F112" s="134">
        <v>15</v>
      </c>
    </row>
    <row r="113" spans="1:6" x14ac:dyDescent="0.25">
      <c r="A113" s="108" t="s">
        <v>87</v>
      </c>
      <c r="B113" s="109">
        <v>12</v>
      </c>
      <c r="C113" s="110">
        <v>25</v>
      </c>
      <c r="D113" s="111">
        <v>15</v>
      </c>
      <c r="E113" s="112">
        <v>25</v>
      </c>
      <c r="F113" s="111">
        <v>15</v>
      </c>
    </row>
    <row r="114" spans="1:6" ht="6" customHeight="1" x14ac:dyDescent="0.25">
      <c r="A114" s="53"/>
      <c r="B114" s="104"/>
      <c r="C114" s="105"/>
      <c r="D114" s="106"/>
      <c r="E114" s="107"/>
      <c r="F114" s="106"/>
    </row>
    <row r="115" spans="1:6" ht="13" x14ac:dyDescent="0.3">
      <c r="A115" s="130" t="s">
        <v>166</v>
      </c>
      <c r="B115" s="126"/>
      <c r="C115" s="127"/>
      <c r="D115" s="128"/>
      <c r="E115" s="129"/>
      <c r="F115" s="128"/>
    </row>
    <row r="116" spans="1:6" x14ac:dyDescent="0.25">
      <c r="A116" s="131" t="s">
        <v>163</v>
      </c>
      <c r="B116" s="132">
        <v>14</v>
      </c>
      <c r="C116" s="133">
        <v>25</v>
      </c>
      <c r="D116" s="134">
        <v>5</v>
      </c>
      <c r="E116" s="135">
        <v>25</v>
      </c>
      <c r="F116" s="134">
        <v>15</v>
      </c>
    </row>
    <row r="117" spans="1:6" x14ac:dyDescent="0.25">
      <c r="A117" s="108" t="s">
        <v>164</v>
      </c>
      <c r="B117" s="109">
        <v>12</v>
      </c>
      <c r="C117" s="110">
        <v>25</v>
      </c>
      <c r="D117" s="111">
        <v>5</v>
      </c>
      <c r="E117" s="112">
        <v>25</v>
      </c>
      <c r="F117" s="111">
        <v>15</v>
      </c>
    </row>
    <row r="118" spans="1:6" ht="6" customHeight="1" x14ac:dyDescent="0.25">
      <c r="A118" s="53"/>
      <c r="B118" s="104"/>
      <c r="C118" s="105"/>
      <c r="D118" s="106"/>
      <c r="E118" s="107"/>
      <c r="F118" s="106"/>
    </row>
    <row r="119" spans="1:6" ht="13" x14ac:dyDescent="0.3">
      <c r="A119" s="130" t="s">
        <v>165</v>
      </c>
      <c r="B119" s="126"/>
      <c r="C119" s="127"/>
      <c r="D119" s="128"/>
      <c r="E119" s="129"/>
      <c r="F119" s="128"/>
    </row>
    <row r="120" spans="1:6" x14ac:dyDescent="0.25">
      <c r="A120" s="131" t="s">
        <v>163</v>
      </c>
      <c r="B120" s="132">
        <v>14</v>
      </c>
      <c r="C120" s="133">
        <v>25</v>
      </c>
      <c r="D120" s="134">
        <v>15</v>
      </c>
      <c r="E120" s="135">
        <v>25</v>
      </c>
      <c r="F120" s="134">
        <v>15</v>
      </c>
    </row>
    <row r="121" spans="1:6" x14ac:dyDescent="0.25">
      <c r="A121" s="108" t="s">
        <v>164</v>
      </c>
      <c r="B121" s="109">
        <v>12</v>
      </c>
      <c r="C121" s="110">
        <v>25</v>
      </c>
      <c r="D121" s="111">
        <v>15</v>
      </c>
      <c r="E121" s="112">
        <v>25</v>
      </c>
      <c r="F121" s="111">
        <v>15</v>
      </c>
    </row>
    <row r="122" spans="1:6" ht="6" customHeight="1" x14ac:dyDescent="0.25">
      <c r="A122" s="53"/>
      <c r="B122" s="104"/>
      <c r="C122" s="105"/>
      <c r="D122" s="106"/>
      <c r="E122" s="107"/>
      <c r="F122" s="106"/>
    </row>
    <row r="123" spans="1:6" ht="13" x14ac:dyDescent="0.3">
      <c r="A123" s="130" t="s">
        <v>167</v>
      </c>
      <c r="B123" s="126"/>
      <c r="C123" s="127"/>
      <c r="D123" s="128"/>
      <c r="E123" s="129"/>
      <c r="F123" s="128"/>
    </row>
    <row r="124" spans="1:6" x14ac:dyDescent="0.25">
      <c r="A124" s="131" t="s">
        <v>171</v>
      </c>
      <c r="B124" s="132">
        <v>13.6</v>
      </c>
      <c r="C124" s="133">
        <v>25</v>
      </c>
      <c r="D124" s="134">
        <v>10</v>
      </c>
      <c r="E124" s="135">
        <v>25</v>
      </c>
      <c r="F124" s="134">
        <v>15</v>
      </c>
    </row>
    <row r="125" spans="1:6" x14ac:dyDescent="0.25">
      <c r="A125" s="108" t="s">
        <v>170</v>
      </c>
      <c r="B125" s="109">
        <v>12</v>
      </c>
      <c r="C125" s="110">
        <v>25</v>
      </c>
      <c r="D125" s="111">
        <v>10</v>
      </c>
      <c r="E125" s="112">
        <v>25</v>
      </c>
      <c r="F125" s="111">
        <v>15</v>
      </c>
    </row>
    <row r="126" spans="1:6" ht="6" customHeight="1" x14ac:dyDescent="0.25">
      <c r="A126" s="53"/>
      <c r="B126" s="104"/>
      <c r="C126" s="105"/>
      <c r="D126" s="106"/>
      <c r="E126" s="107"/>
      <c r="F126" s="106"/>
    </row>
    <row r="127" spans="1:6" ht="13" x14ac:dyDescent="0.3">
      <c r="A127" s="130" t="s">
        <v>174</v>
      </c>
      <c r="B127" s="126"/>
      <c r="C127" s="127"/>
      <c r="D127" s="128"/>
      <c r="E127" s="129"/>
      <c r="F127" s="128"/>
    </row>
    <row r="128" spans="1:6" x14ac:dyDescent="0.25">
      <c r="A128" s="131" t="s">
        <v>175</v>
      </c>
      <c r="B128" s="132">
        <v>15</v>
      </c>
      <c r="C128" s="133">
        <v>25</v>
      </c>
      <c r="D128" s="134">
        <v>10</v>
      </c>
      <c r="E128" s="135">
        <v>25</v>
      </c>
      <c r="F128" s="134">
        <v>15</v>
      </c>
    </row>
    <row r="129" spans="1:7" x14ac:dyDescent="0.25">
      <c r="A129" s="108" t="s">
        <v>176</v>
      </c>
      <c r="B129" s="109">
        <v>12.4</v>
      </c>
      <c r="C129" s="110">
        <v>25</v>
      </c>
      <c r="D129" s="111">
        <v>10</v>
      </c>
      <c r="E129" s="112">
        <v>25</v>
      </c>
      <c r="F129" s="111">
        <v>15</v>
      </c>
    </row>
    <row r="130" spans="1:7" ht="6" customHeight="1" x14ac:dyDescent="0.25">
      <c r="A130" s="188"/>
      <c r="B130" s="104"/>
      <c r="C130" s="105"/>
      <c r="D130" s="106"/>
      <c r="E130" s="107"/>
      <c r="F130" s="106"/>
    </row>
    <row r="131" spans="1:7" ht="13" x14ac:dyDescent="0.3">
      <c r="A131" s="130" t="s">
        <v>180</v>
      </c>
      <c r="B131" s="126"/>
      <c r="C131" s="191"/>
      <c r="D131" s="128"/>
      <c r="E131" s="129"/>
      <c r="F131" s="128"/>
      <c r="G131" s="49"/>
    </row>
    <row r="132" spans="1:7" x14ac:dyDescent="0.25">
      <c r="A132" s="131" t="s">
        <v>187</v>
      </c>
      <c r="B132" s="132">
        <v>14</v>
      </c>
      <c r="C132" s="220">
        <v>25</v>
      </c>
      <c r="D132" s="134">
        <v>5</v>
      </c>
      <c r="E132" s="135">
        <v>25</v>
      </c>
      <c r="F132" s="134">
        <v>15</v>
      </c>
      <c r="G132" s="49"/>
    </row>
    <row r="133" spans="1:7" ht="13" thickBot="1" x14ac:dyDescent="0.3">
      <c r="A133" s="192" t="s">
        <v>181</v>
      </c>
      <c r="B133" s="221">
        <v>13</v>
      </c>
      <c r="C133" s="193">
        <v>20</v>
      </c>
      <c r="D133" s="194">
        <v>5</v>
      </c>
      <c r="E133" s="222">
        <v>25</v>
      </c>
      <c r="F133" s="194">
        <v>15</v>
      </c>
      <c r="G133" s="49"/>
    </row>
    <row r="134" spans="1:7" x14ac:dyDescent="0.25">
      <c r="A134" s="49"/>
      <c r="B134" s="49"/>
      <c r="C134" s="49"/>
      <c r="D134" s="49"/>
      <c r="E134" s="49"/>
      <c r="F134" s="49"/>
      <c r="G134" s="49"/>
    </row>
    <row r="135" spans="1:7" x14ac:dyDescent="0.25">
      <c r="A135" s="49"/>
      <c r="B135" s="49"/>
      <c r="C135" s="49"/>
      <c r="D135" s="49"/>
      <c r="E135" s="49"/>
      <c r="F135" s="49"/>
    </row>
  </sheetData>
  <mergeCells count="25">
    <mergeCell ref="A88:A89"/>
    <mergeCell ref="E87:F87"/>
    <mergeCell ref="B87:B88"/>
    <mergeCell ref="C87:D88"/>
    <mergeCell ref="E88:F88"/>
    <mergeCell ref="A86:F86"/>
    <mergeCell ref="A73:F73"/>
    <mergeCell ref="B48:D48"/>
    <mergeCell ref="A69:F69"/>
    <mergeCell ref="A75:F75"/>
    <mergeCell ref="D50:F50"/>
    <mergeCell ref="A77:F77"/>
    <mergeCell ref="A79:F79"/>
    <mergeCell ref="A71:F71"/>
    <mergeCell ref="B54:D54"/>
    <mergeCell ref="B55:C55"/>
    <mergeCell ref="B56:C56"/>
    <mergeCell ref="C62:E62"/>
    <mergeCell ref="A83:F84"/>
    <mergeCell ref="I43:I44"/>
    <mergeCell ref="J43:J44"/>
    <mergeCell ref="K43:K44"/>
    <mergeCell ref="A45:F46"/>
    <mergeCell ref="A81:F81"/>
    <mergeCell ref="A51:A52"/>
  </mergeCells>
  <phoneticPr fontId="0" type="noConversion"/>
  <conditionalFormatting sqref="F26">
    <cfRule type="cellIs" dxfId="0" priority="1" operator="between">
      <formula>0</formula>
      <formula>6</formula>
    </cfRule>
  </conditionalFormatting>
  <dataValidations count="1">
    <dataValidation type="list" allowBlank="1" showInputMessage="1" showErrorMessage="1" sqref="B25" xr:uid="{00000000-0002-0000-0000-000000000000}">
      <formula1>$I$26:$I$31</formula1>
    </dataValidation>
  </dataValidations>
  <pageMargins left="0.27559055118110237" right="0.39370078740157483" top="1.3779527559055118" bottom="0.98425196850393704" header="0.51181102362204722" footer="0.51181102362204722"/>
  <pageSetup paperSize="9" scale="83" orientation="portrait" r:id="rId1"/>
  <headerFooter alignWithMargins="0">
    <oddHeader>&amp;R&amp;G</oddHeader>
    <oddFooter xml:space="preserve">&amp;LSA07.22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E18"/>
  <sheetViews>
    <sheetView workbookViewId="0">
      <selection activeCell="E16" sqref="E16"/>
    </sheetView>
  </sheetViews>
  <sheetFormatPr defaultRowHeight="12.5" x14ac:dyDescent="0.25"/>
  <cols>
    <col min="2" max="2" width="11" customWidth="1"/>
    <col min="3" max="3" width="10.81640625" customWidth="1"/>
    <col min="4" max="4" width="12" customWidth="1"/>
    <col min="5" max="5" width="72.26953125" customWidth="1"/>
  </cols>
  <sheetData>
    <row r="2" spans="2:5" ht="13" thickBot="1" x14ac:dyDescent="0.3"/>
    <row r="3" spans="2:5" ht="13" thickBot="1" x14ac:dyDescent="0.3">
      <c r="B3" s="44" t="s">
        <v>88</v>
      </c>
      <c r="C3" s="44" t="s">
        <v>89</v>
      </c>
      <c r="D3" s="44" t="s">
        <v>90</v>
      </c>
      <c r="E3" s="44" t="s">
        <v>91</v>
      </c>
    </row>
    <row r="4" spans="2:5" x14ac:dyDescent="0.25">
      <c r="B4" s="45" t="s">
        <v>92</v>
      </c>
      <c r="C4" s="46">
        <v>42093</v>
      </c>
      <c r="D4" s="45" t="s">
        <v>93</v>
      </c>
      <c r="E4" s="45" t="s">
        <v>135</v>
      </c>
    </row>
    <row r="5" spans="2:5" x14ac:dyDescent="0.25">
      <c r="B5" s="47" t="s">
        <v>94</v>
      </c>
      <c r="C5" s="48">
        <v>42108</v>
      </c>
      <c r="D5" s="47" t="s">
        <v>93</v>
      </c>
      <c r="E5" s="47" t="s">
        <v>95</v>
      </c>
    </row>
    <row r="6" spans="2:5" ht="25" x14ac:dyDescent="0.25">
      <c r="B6" s="43" t="s">
        <v>134</v>
      </c>
      <c r="C6" s="48">
        <v>42115</v>
      </c>
      <c r="D6" s="43" t="s">
        <v>93</v>
      </c>
      <c r="E6" s="72" t="s">
        <v>136</v>
      </c>
    </row>
    <row r="7" spans="2:5" ht="24.75" customHeight="1" x14ac:dyDescent="0.25">
      <c r="B7" s="47" t="s">
        <v>137</v>
      </c>
      <c r="C7" s="48">
        <v>42530</v>
      </c>
      <c r="D7" s="47" t="s">
        <v>93</v>
      </c>
      <c r="E7" s="73" t="s">
        <v>138</v>
      </c>
    </row>
    <row r="8" spans="2:5" ht="25.5" customHeight="1" x14ac:dyDescent="0.25">
      <c r="B8" s="47" t="s">
        <v>139</v>
      </c>
      <c r="C8" s="48">
        <v>42531</v>
      </c>
      <c r="D8" s="47" t="s">
        <v>93</v>
      </c>
      <c r="E8" s="73" t="s">
        <v>140</v>
      </c>
    </row>
    <row r="9" spans="2:5" x14ac:dyDescent="0.25">
      <c r="B9" s="43" t="s">
        <v>156</v>
      </c>
      <c r="C9" s="48">
        <v>42703</v>
      </c>
      <c r="D9" s="43" t="s">
        <v>93</v>
      </c>
      <c r="E9" s="43" t="s">
        <v>157</v>
      </c>
    </row>
    <row r="10" spans="2:5" ht="25" x14ac:dyDescent="0.25">
      <c r="B10" s="47" t="s">
        <v>168</v>
      </c>
      <c r="C10" s="48">
        <v>43409</v>
      </c>
      <c r="D10" s="47" t="s">
        <v>93</v>
      </c>
      <c r="E10" s="79" t="s">
        <v>169</v>
      </c>
    </row>
    <row r="11" spans="2:5" x14ac:dyDescent="0.25">
      <c r="B11" s="43" t="s">
        <v>172</v>
      </c>
      <c r="C11" s="48">
        <v>43628</v>
      </c>
      <c r="D11" s="43" t="s">
        <v>93</v>
      </c>
      <c r="E11" s="43" t="s">
        <v>173</v>
      </c>
    </row>
    <row r="12" spans="2:5" x14ac:dyDescent="0.25">
      <c r="B12" s="43" t="s">
        <v>179</v>
      </c>
      <c r="C12" s="48">
        <v>44607</v>
      </c>
      <c r="D12" s="43" t="s">
        <v>177</v>
      </c>
      <c r="E12" s="43" t="s">
        <v>178</v>
      </c>
    </row>
    <row r="13" spans="2:5" ht="37.5" x14ac:dyDescent="0.25">
      <c r="B13" s="43" t="s">
        <v>233</v>
      </c>
      <c r="C13" s="48">
        <v>44763</v>
      </c>
      <c r="D13" s="43" t="s">
        <v>177</v>
      </c>
      <c r="E13" s="73" t="s">
        <v>239</v>
      </c>
    </row>
    <row r="14" spans="2:5" x14ac:dyDescent="0.25">
      <c r="B14" s="43" t="s">
        <v>246</v>
      </c>
      <c r="C14" s="48">
        <v>45350</v>
      </c>
      <c r="D14" s="43" t="s">
        <v>177</v>
      </c>
      <c r="E14" s="43" t="s">
        <v>247</v>
      </c>
    </row>
    <row r="15" spans="2:5" x14ac:dyDescent="0.25">
      <c r="B15" s="43" t="s">
        <v>248</v>
      </c>
      <c r="C15" s="48">
        <v>45429</v>
      </c>
      <c r="D15" s="43" t="s">
        <v>177</v>
      </c>
      <c r="E15" s="43" t="s">
        <v>249</v>
      </c>
    </row>
    <row r="16" spans="2:5" ht="25" x14ac:dyDescent="0.25">
      <c r="B16" s="47" t="s">
        <v>250</v>
      </c>
      <c r="C16" s="48">
        <v>45470</v>
      </c>
      <c r="D16" s="47" t="s">
        <v>177</v>
      </c>
      <c r="E16" s="73" t="s">
        <v>251</v>
      </c>
    </row>
    <row r="17" spans="2:5" x14ac:dyDescent="0.25">
      <c r="B17" s="43"/>
      <c r="C17" s="43"/>
      <c r="D17" s="43"/>
      <c r="E17" s="43"/>
    </row>
    <row r="18" spans="2:5" x14ac:dyDescent="0.25">
      <c r="B18" s="43"/>
      <c r="C18" s="43"/>
      <c r="D18" s="43"/>
      <c r="E18" s="43"/>
    </row>
  </sheetData>
  <sheetProtection algorithmName="SHA-512" hashValue="cKzzc3EvozVZ6tG63P7/qDb5uoghIYilHboIkS1emYpSZmzXu3LH8uDI7/tzMjZUO5HNS/ONyZKLjm1a0l5krQ==" saltValue="LGKU89c17/7Iz/YlQBaPdg==" spinCount="100000" sheet="1" objects="1" scenarios="1"/>
  <phoneticPr fontId="0"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M18"/>
  <sheetViews>
    <sheetView zoomScaleNormal="100" workbookViewId="0">
      <selection activeCell="O42" sqref="O42"/>
    </sheetView>
  </sheetViews>
  <sheetFormatPr defaultRowHeight="12.5" x14ac:dyDescent="0.25"/>
  <cols>
    <col min="1" max="2" width="9.1796875" customWidth="1"/>
  </cols>
  <sheetData>
    <row r="2" spans="1:13" ht="13" x14ac:dyDescent="0.3">
      <c r="A2" s="75" t="s">
        <v>155</v>
      </c>
      <c r="M2" s="75" t="s">
        <v>154</v>
      </c>
    </row>
    <row r="4" spans="1:13" x14ac:dyDescent="0.25">
      <c r="M4" s="49" t="s">
        <v>153</v>
      </c>
    </row>
    <row r="5" spans="1:13" x14ac:dyDescent="0.25">
      <c r="M5" s="49" t="s">
        <v>152</v>
      </c>
    </row>
    <row r="6" spans="1:13" x14ac:dyDescent="0.25">
      <c r="M6" s="49" t="s">
        <v>151</v>
      </c>
    </row>
    <row r="8" spans="1:13" x14ac:dyDescent="0.25">
      <c r="M8" s="49" t="s">
        <v>150</v>
      </c>
    </row>
    <row r="9" spans="1:13" x14ac:dyDescent="0.25">
      <c r="M9" s="49" t="s">
        <v>149</v>
      </c>
    </row>
    <row r="10" spans="1:13" x14ac:dyDescent="0.25">
      <c r="M10" s="74" t="s">
        <v>189</v>
      </c>
    </row>
    <row r="11" spans="1:13" x14ac:dyDescent="0.25">
      <c r="M11" s="49" t="s">
        <v>148</v>
      </c>
    </row>
    <row r="12" spans="1:13" x14ac:dyDescent="0.25">
      <c r="M12" s="49" t="s">
        <v>147</v>
      </c>
    </row>
    <row r="13" spans="1:13" x14ac:dyDescent="0.25">
      <c r="M13" s="49" t="s">
        <v>146</v>
      </c>
    </row>
    <row r="14" spans="1:13" x14ac:dyDescent="0.25">
      <c r="M14" t="s">
        <v>145</v>
      </c>
    </row>
    <row r="16" spans="1:13" x14ac:dyDescent="0.25">
      <c r="M16" s="49" t="s">
        <v>144</v>
      </c>
    </row>
    <row r="17" spans="13:13" x14ac:dyDescent="0.25">
      <c r="M17" s="49" t="s">
        <v>143</v>
      </c>
    </row>
    <row r="18" spans="13:13" x14ac:dyDescent="0.25">
      <c r="M18" s="49" t="s">
        <v>142</v>
      </c>
    </row>
  </sheetData>
  <pageMargins left="0.75" right="0.75" top="1" bottom="1" header="0.5" footer="0.5"/>
  <pageSetup paperSize="9" scale="61" orientation="portrait" r:id="rId1"/>
  <headerFooter alignWithMargins="0"/>
  <colBreaks count="1" manualBreakCount="1">
    <brk id="12" max="1048575" man="1"/>
  </colBreaks>
  <drawing r:id="rId2"/>
  <legacyDrawing r:id="rId3"/>
  <oleObjects>
    <mc:AlternateContent xmlns:mc="http://schemas.openxmlformats.org/markup-compatibility/2006">
      <mc:Choice Requires="x14">
        <oleObject progId="Word.Document.12" shapeId="1025" r:id="rId4">
          <objectPr defaultSize="0" r:id="rId5">
            <anchor moveWithCells="1">
              <from>
                <xdr:col>0</xdr:col>
                <xdr:colOff>431800</xdr:colOff>
                <xdr:row>3</xdr:row>
                <xdr:rowOff>95250</xdr:rowOff>
              </from>
              <to>
                <xdr:col>10</xdr:col>
                <xdr:colOff>285750</xdr:colOff>
                <xdr:row>35</xdr:row>
                <xdr:rowOff>152400</xdr:rowOff>
              </to>
            </anchor>
          </objectPr>
        </oleObject>
      </mc:Choice>
      <mc:Fallback>
        <oleObject progId="Word.Document.12" shapeId="1025" r:id="rId4"/>
      </mc:Fallback>
    </mc:AlternateContent>
    <mc:AlternateContent xmlns:mc="http://schemas.openxmlformats.org/markup-compatibility/2006">
      <mc:Choice Requires="x14">
        <oleObject progId="Word.Document.12" shapeId="1027" r:id="rId6">
          <objectPr defaultSize="0" r:id="rId7">
            <anchor moveWithCells="1">
              <from>
                <xdr:col>0</xdr:col>
                <xdr:colOff>450850</xdr:colOff>
                <xdr:row>35</xdr:row>
                <xdr:rowOff>127000</xdr:rowOff>
              </from>
              <to>
                <xdr:col>10</xdr:col>
                <xdr:colOff>304800</xdr:colOff>
                <xdr:row>66</xdr:row>
                <xdr:rowOff>152400</xdr:rowOff>
              </to>
            </anchor>
          </objectPr>
        </oleObject>
      </mc:Choice>
      <mc:Fallback>
        <oleObject progId="Word.Document.12" shapeId="1027"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Sheet1</vt:lpstr>
      <vt:lpstr>Amendments</vt:lpstr>
      <vt:lpstr>Calculations &amp; Specifications</vt:lpstr>
      <vt:lpstr>Sheet3</vt:lpstr>
      <vt:lpstr>'Calculations &amp; Specifications'!APPENDIX1</vt:lpstr>
      <vt:lpstr>'Calculations &amp; Specifications'!Permittedtubedeflex</vt:lpstr>
      <vt:lpstr>Sheet1!Print_Area</vt:lpstr>
    </vt:vector>
  </TitlesOfParts>
  <Company>Guthrie Douglas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Hyrons</dc:creator>
  <cp:lastModifiedBy>Rob Hyrons</cp:lastModifiedBy>
  <cp:lastPrinted>2022-08-15T08:35:17Z</cp:lastPrinted>
  <dcterms:created xsi:type="dcterms:W3CDTF">1998-05-12T12:56:02Z</dcterms:created>
  <dcterms:modified xsi:type="dcterms:W3CDTF">2025-11-20T20:57:49Z</dcterms:modified>
</cp:coreProperties>
</file>